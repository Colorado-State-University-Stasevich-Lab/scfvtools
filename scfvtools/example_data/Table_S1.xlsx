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tstasevi_colostate_edu/Documents/Stasevich Lab/Lab Management/Dry Lab/Python/scFv-analysis/AF2_files_for-paper/"/>
    </mc:Choice>
  </mc:AlternateContent>
  <xr:revisionPtr revIDLastSave="43" documentId="8_{B2B2EBCC-88F2-461C-949A-A1629AA86451}" xr6:coauthVersionLast="47" xr6:coauthVersionMax="47" xr10:uidLastSave="{37921BC6-1418-4B85-8CA1-2A4939D9596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2" i="1"/>
</calcChain>
</file>

<file path=xl/sharedStrings.xml><?xml version="1.0" encoding="utf-8"?>
<sst xmlns="http://schemas.openxmlformats.org/spreadsheetml/2006/main" count="740" uniqueCount="359">
  <si>
    <t>original name</t>
  </si>
  <si>
    <t>target</t>
  </si>
  <si>
    <t>chromatin/cyt mean</t>
  </si>
  <si>
    <t>chromatin/cyt s.d.</t>
  </si>
  <si>
    <t>sequence</t>
  </si>
  <si>
    <t>M2-WT</t>
  </si>
  <si>
    <t>FLAG</t>
  </si>
  <si>
    <t>n.d.</t>
  </si>
  <si>
    <t>MAQVQLQQSAAELARPGASVKMSCKASGYSFTTYTIHWVKQRPGQGLEWIGYINPSSGYAAYNQNFKDETTLTADPSSSTAYMELNSLTSEDSAVYYCAREKFYGYDYWGQGATLTVSSGGGGSGGGGSGGGGSDVLMTQIPLSLPVSLGDQASISCRSSQSIVHRNGNTYLEWYLLKPGQSPKLLIYKVSNRFSGVPDRFSGSGSGTDFTLKISRVEAEDLGVYYCFQGSHVPYTFGGGTKLEI</t>
  </si>
  <si>
    <t>M2-FLAG-15F11FB</t>
  </si>
  <si>
    <t>EVKLVESGGGLVKPGGSLKLSCAASGFTFSTYTIHWVRQTPEKRLEWVAYINPSSGYAAYNQNFKDRFTISRDNAKNTLYLQMSSLRSEDTAIYYCAREKFYGYDYWGQGTTLTVSSGGGGSGGGGSGGGGSDIVLTQSPASLTVSLGQRATISCRSSQSIVHRNGNTYLEWYQQKPGQPPKLLIYKVSNRFSGIPARFSGSGSGTDFTLNIHPVEEEDAATYYCFQGSHVPYTFGAGTKLEI</t>
  </si>
  <si>
    <t>M2-FLAG-44B12FB</t>
  </si>
  <si>
    <t>EVQLQQSGPELVKPGASVKISCKASGYSFTTYTIHWVKQSHGQSLEWIGYINPSSGYAAYNQNFKDKATLTVDKSSSTAYLELRSLTSEDSAVYYCAREKFYGYDYWGQGTLVTVSSGGGGSGGGGSGGGGSDVVMTQTPLTLSVTIGQPASISCRSSQSIVHRNGNTYLSWLLQRPGQSPERLIYKVSNRFSGVPDRFTGSGSGTDFTLKISRVEAEDLGVYYCFQGSHVPYTFGGGTKLEI</t>
  </si>
  <si>
    <t>M2-MPNN16</t>
  </si>
  <si>
    <t>QVQLVQSPDVLARPGETVTLSCTASGYSFTTYTIHWVKQPPGGPLEWIGYINPSSGYAAYNPNFASRCTLTADPSTSTAYLTISNLTSADTAVYYCAREKFYGYDYWGQGTRLTVSSGGGGSGGGGSGGGGSDVLMTESPKVLPVKLGESATINCTSSQSIVHRNGNTYLEWYLLKPGQPPELLIYKVSNRFSGVPDRFSGSGSGTSFTLNISSVQPEDLGTYYCFQGSHVPYTFGNGTKLVL</t>
  </si>
  <si>
    <t>M2-MPNN12</t>
  </si>
  <si>
    <t>QVQLVESGDVLARPGETVTLSCTASGYSFTTYTIHWVKQAPGKKLEWIGYINPSSGYAAYNPNFKDRCTLTADPATSTAYLTISNLTSEDTATYYCAREKFYGYDYWGQGTKLTVSSGGGGSGGGGSGGGGSDVLMTQSPKVLPVKLGEKATISCRSSQSIVHRNGNTYLEWYLQKPGQKPQLLIYKVSNRFSGVPDRFSGSGSGTDFTLTISSVQEEDLGTYYCFQGSHVPYTFGEGTKLEL</t>
  </si>
  <si>
    <t>M2-MPNN11</t>
  </si>
  <si>
    <t>QVQLVQSGDVLARPGETVTLSCTASGYSFTTYTIHWVKQKPGKKLEWIGYINPSSGYAAYNPNFKDRCTLTADPATSTAYLTIKNLTSEDTATYYCAREKFYGYDYWGQGTKLTVSSGGGGSGGGGSGGGGSDVLMTQSPKELPVKLGEKAVLSCRSSQSIVHRNGNTYLEWYLQKPGQAPELLIYKVSNRFSGVPDRFSGSGSGTDFQLTIDSVEESDLGTYYCFQGSHVPYTFGEGTKLTL</t>
  </si>
  <si>
    <t>M2-MPNN01</t>
  </si>
  <si>
    <t>QVQLVQSGDVLARPGETVTLSCTASGYSFTTYTIHWVKQAPGKPLEWIGYINPSSGYAAYNPNFKDRVKLTADPATSTAYMTISNLTSEDTAVYYCAREKFYGYDYWGQGTKLTVSSGGGGSGGGGSGGGGSDVLMTQSPAVLPVKLGESATISCRSSQSIVHRNGNTYLEWYLQKPGKAPELLIYKVSNRFSGVPDRFSGSGSGTDFTLHISSVQEEDLGTYYCFQGSHVPYTFGNGTKLTL</t>
  </si>
  <si>
    <t>9E2H10-WT</t>
  </si>
  <si>
    <t>H3K27ac</t>
  </si>
  <si>
    <t>EILLQQSGPEVVKPGASVKVSCKASGYSFTEYNMYWVKQSHGKSLEWIGYIGPYNGGSSYTQKFKGKATLTFDKSSSTAFMHLSRLTSEDSAVYYCSDGHYWGQGTTLTVSSSSGGGGSGGGGSGGGGSDVVMTQTPLSLSVTIGQPASISCKSSQSLLYSNGETYLNWLHQRPGQAPKYLMYQVSNKAPGIPDRFSGSGSETDFTLKISRVEAEDLGVYYCLQGTFYPHTFGGGTKLEI</t>
  </si>
  <si>
    <t>9e2H10-MPNN05</t>
  </si>
  <si>
    <t>APPKVLQQSGDVTVNAGSSVTLTCKASGYSFTEYNMYWVKLTNGTKLEWIGYIGPYNGGSSYTQKFKGKATLSYDKATSTGYLTLSRLTEEDSAVYYCSDGHYWGQGTKLTVNSSSGGGGSGGGGSGGGGSDVVMTESPASLTVALGEPATFTCKSSQSLLYSNGETYLNWLHQAPGQPPQYLMYQVSNKAPGVPDRFSGSGSETDFTLTISSVQPEDAGTYYCLQGTFYPHTFGQGTKLTI</t>
  </si>
  <si>
    <t>9e2H10-MPNN07</t>
  </si>
  <si>
    <t>APPKVLQQSGDVTVNEGSSVTLTCKASGYSFTEYNMYWVKETNGTKLEWIGYIGPYNGGSSYTQKFKGKATLSYDKANSTGYLHISRLTKEDSAVYYCSDGHYWGQGTKLTVTSSSGGGGSGGGGSGGGGSDVVMTESPSSLTVKLGEPATFTCKSSQSLLYSNGETYLNWLHKKPGQPPQYLMYQVSNKAPGVSDRFSGSGSETDFTLNISSVQADDEGIYYCLQGTFYPHTFGQGTKLTI</t>
  </si>
  <si>
    <t>9e2H10-MPNN10</t>
  </si>
  <si>
    <t>APPKVLQQSGDVTANEGDSVTLSCKASGYSFTEYNMYWVKETNGTKLEWIGYIGPYNGGSSYTQKFKGKATLSYDKETSTGYLTLSRLTTEDSAVYYCSDGHYWGQGTKLTVNSSSGGGGSGGGGSGGGGSDVVMTESPKELTVALGEPATFTCKSSQSLLYSNGETYLNWLHKAPGQKPQYLMYQVSNKAPGVSDRFSGSGSETDFTLTISAVQPEDEGIYYCLQGTFYPHTFGQGTKLTI</t>
  </si>
  <si>
    <t>9e2H10-MPNN13</t>
  </si>
  <si>
    <t>PAPKTLQQSGDVTVDEGSDVTLSCKASGYSFTEYNMYWVKETNGTKLEWIGYIGPYNGGSSYTQKFKGKATLSYDKATSTGYLHLSRLTKDDSAVYYCSDGHYWGQGTKLTVKSSSGGGGSGGGGSGGGGSDVVMTESPKELTVALGESATINCKSSQSLLYSNGETYLNWLHKAEGQPPQYLMYQVSNKAPGVPDRFSGSGSETDFTLTISSVQASDAGTYYCLQGTFYPHTFGQGTKLTV</t>
  </si>
  <si>
    <t>mBG17-WT</t>
  </si>
  <si>
    <t>Sars-CoV-2 nucleocapsid</t>
  </si>
  <si>
    <t>MAEVKLEESGGGLVQPGGSMKFSCVASGFTFSDYWMNWVRQSPDKGLEWVAEIRLKSNNYATHYAASVKGRFTISRDDSKSSVYLQMNNLRAEDSGIYYCTRSAMDYWGQGTSVTVSSGGGGSGGGGSGGGGSDIVMSQSPSSLAVSVGEKITMSCKSSQSLLYTSDQKNYLAWFQQKPGQSPKLLIFWASTRDSGVPDRFTGSGSGTDFTLTISSVKAEDLAVYYCQQFYNYPRTFGGGTKLEI</t>
  </si>
  <si>
    <t>mBG17-MPNN06</t>
  </si>
  <si>
    <t>PVTLTESGGGTVAEGGSITLTCTASGFNFSDYWMNWVRYSPETGFEFVAEIRLKSNNYATHYAASVKGRFTASRDDSSSTATLNMSNLTVSDSGTYYCTRSAMDYWGQGVSVTVSSGGGGSGGGGSGGGGSDIVMSESPASITASVGESITFTCKSSQSLLYTSDQKNYLAWFKQKPGQPPQRLIFWASTRDSGVPDRYVGSGSGTEFTLTIKSVQASDEAVYYCQQFYNYPRTFGQGTKLTI</t>
  </si>
  <si>
    <t>mBG17-MPNN10</t>
  </si>
  <si>
    <t>PVKLVESGGGTVAEGGSITLTCKASGFNFSDYWMNWVRYSPEKGFEFVAEIRLKSNNYATHYAASVKGRFTISRDDSKSTVYLDMKDLRVSDSGTYYCTRSAMDYWGQGVTVTVSSGGGGSGGGGSGGGGSDIVMSQSPKELTVEEGESITITCKSSQSLLYTSDQKNYLAWFKQKPGKPPERLIFWASTRDSGVPDRYVGSGSGTDFTLTIKSVQPEDEAVYYCQQFYNYPRTFGQGTKLTI</t>
  </si>
  <si>
    <t>mBG17-MPNN11</t>
  </si>
  <si>
    <t>PVTLTESGGGTVAEGGSITLSCKASGFNFSDYWMNWVRYSPEKGFEFVAEIRLKSNNYATHYAASVKGRFTISRDDANSTAYLNMSNLTVADSGTYYCTRSAMDYWGQGTTITVSSGGGGSGGGGSGGGGSDIVLSESPSSITAEVGQTVTVTCKSSQSLLYTSDQKNYLAWFKQKPGQPPQRLIFWASTRDSGVPDRYVGSGSGTDFSLTITSVQPEDEAVYYCQQFYNYPRTFGQGTKLTI</t>
  </si>
  <si>
    <t>mBG17-MPNN22</t>
  </si>
  <si>
    <t>PVTLTESGGGTVAEGGSITLSCTASGFNFSDYWMNWVRYSPETGFQWVAEIRLKSNNYATHYAASVKGRFTISRDDANSTAYLDMSDLRVEDSGTYYCTRSAMDYWGQGTSITVSSGGGGSGGGGSGGGGSDIVMSESPKSITAKEGEKITITCKSSQSLLYTSDQKNYLAWFKQKPGQPPQRLIFWASTRDSGVPDRYVGSGSGTDFTLTITSVQAEDEATYYCQQFYNYPRTFGEGTKITI</t>
  </si>
  <si>
    <t>mBG17-MPNN23</t>
  </si>
  <si>
    <t>PVTLTESGGGTVAEGGSITLTCTASGFNFSDYWMNWVKYSPTDGFQWVAEIRLKSNNYATHYAASVKGRFTISRDDSKSTAYLQMSNLTVADSGVYYCTRSAMDYWGQGTSITVSSGGGGSGGGGSGGGGSDIVMSESPKSITANVGDSITITCKSSQSLLYTSDQKNYLAWFKQKPGKPPERLIFWASTRDSGVPDRYVGSGSGTDFTLTITAVQADDEAVYYCQQFYNYPRTFGQGTKLTI</t>
  </si>
  <si>
    <t>mBG17-MPNN36</t>
  </si>
  <si>
    <t>PVQLVESGGGTVAEGGSITLTCKASGFNFSDYWMNWVKQSPETGLEWVAEIRLKSNNYATHYAASVKGRFTISRDDSKSTVYLKMNNLTVEDSGVYYCTRSAMDYWGQGVSVTVSSGGGGSGGGGSGGGGSDIVMSESPKSITAKEGETITLTCKSSQSLLYTSDQKNYLAWFKQKPGQPPQRLIFWASTRDSGVPDRYVGSGSGTDFTLTIKAVRAEDEATYYCQQFYNYPRTFGQGTKLTL</t>
  </si>
  <si>
    <t>mBG17-15F11FB</t>
  </si>
  <si>
    <t>EVKLVESGGGLVKPGGSLKLSCAASGFTFSDYWMNWVRQTPEKRLEWVAEIRLKSNNYATHYAASVKGRFTISRDNAKNTLYLQMSSLRSEDTAIYYCARSAMDYWGQGTTLTVSSGGGGSGGGGSGGGGSDIVLTQSPASLTVSLGQRATISCKSSQSLLYTSDQKNYLAWYQQKPGQPPKLLIYWASTRDSGIPARFSGSGSGTDFTLNIHPVEEEDAATYYCQQFYNYPRTFGAGTKLEI</t>
  </si>
  <si>
    <t>7G1G7-WT</t>
  </si>
  <si>
    <t>H3S10ph</t>
  </si>
  <si>
    <t>MAQVTLKESGPGILQPSQTLSLTCSFSGFSLRTSGMGVSWVRQPPGKGLEWLAHIYWDDDKRYTPSLKSRLTISRDTFRNQVFLKITSVDTADSATYYCARRTDDGHYDYALDYWGQGISVTVSSGGGGSGGGGSGGGGSQIVLTQSPAVMSASPGERVTMTCSASSSVTGMHWYQHKSGISPKRWIFDTSKLASGVPARFSGSGSGTSYSLTITSMESEDAATYYCQQWSFNPYTFGGGTKLEIKRA</t>
  </si>
  <si>
    <t>7G1G7_d1-6</t>
  </si>
  <si>
    <t>MAPRTLKVSGPTVLQPGETLVLECSFSGFSLRTSGMGVSWVRQPPGGPLVYLAHIYWDDDKRYNPEVKDRLTISRDKEKNTVFLTIKNVTPEDSAVYYCARRTDDGHYDYALDYWSEGLKVTVTSGGGGSGGGGSGGGGSQIVLTQSPKTISAAPGEKVTITCSASSSVTGMHWYKQKPGKPPERWIFDTSKLASGVPSRYSGSGSGTSYSLTISSFQPEDVATYYCQQWSFNPYTFGQGTKVELKRA</t>
  </si>
  <si>
    <t>7G1G7_d2-1</t>
  </si>
  <si>
    <t>MAPVTLKVSGPTVLAPGETLSLTCSFSGFSLRTSGMGVSWVRQPPGKPLEYLAHIYWDDDKRYNPKLADRLTISRDKEKNTTTLTIANVTAEDTAVYYCARRTDDGHYDYALDYWSDGLKVTVTSGGGGSGGGGSGGGGSQIVLTQSPATISAAPGEKVTITCSASSSVTGMHWYKQKPGQPPQRWIFDTSKLASGVPSRYSGSGSGTSYSLTIDSFQAEDAATYYCQQWSFNPYTFGQGTKVEVKRA</t>
  </si>
  <si>
    <t>7G1G7_d3-9</t>
  </si>
  <si>
    <t>MAPVTLKVSGPTVLKPGETLVLTCSFSGFSLRTSGMGVSWVRQPPGKPLEYLAHIYWDDDKRYNPKLKDRLTISRDKENNTVYLTIKNVTEEDTAVYYCARRTDDGHYDYALDYWSEGLKVTVVSGGGGSGGGGSGGGGSQIVLTQSPKEISAAPGEKVTITCSASSSVTGMHWYKQKPGKPPERWIFDTSKLASGVPERYSGSGSGTSYSLTISSFQPEDEATYYCQQWSFNPYTFGQGTTLKLKRA</t>
  </si>
  <si>
    <t>7G1G7_d4-12</t>
  </si>
  <si>
    <t>MAPVTLKVSGPTSLAPGSTLVLTCSFSGFSLRTSGMGVSWVRQPPGGPLEYLAHIYWDDDKRYNPKVKDRLTISRDKANNTVTLTISNVTAADSATYYCARRTDDGHYDYALDYWSEGLKVTVSSGGGGSGGGGSGGGGSQIVLTQSPAEIEAAPGEKVVINCSASSSVTGMHWYKQKPGQPPQRWIFDTSKLASGVPSRYSGSGSGTQYSLTISSFQPEDAATYYCQQWSFNPYTFGQGTKVKLKRA</t>
  </si>
  <si>
    <t>7G1G7_d5-4</t>
  </si>
  <si>
    <t>MAERTLKVSGPTVLAPGETLVLTCSFSGFSLRTSGMGVSWVRQPPGGPLEYLAHIYWDDDKRYNPRVADRLEISRDVENNTVYLTIRDVTAADSAVYYCARRTDDGHYDYALDYWSEGLEVRVVSGGGGSGGGGSGGGGSQIVLTESPKEIEAAPGEKVTITCSASSSVTGMHWYKQKPGKPPERWIFDTSKLASGVPSRYSGSGSGTQYSLTIDSFQPEDVATYYCQQWSFNPYTFGQGTTVKLKRA</t>
  </si>
  <si>
    <t>16H10_ori</t>
  </si>
  <si>
    <t>H3K4me3</t>
  </si>
  <si>
    <t>MAEVQLQQSGAELVRPGALVKLSCKASGFNIKDYYLHWVKQRPEQGLEWIGWIDPENGNTFFDPKFQGKASITADTSSNTAYLQLSSLTSEDTAVYFCTRDLYYYGINDYAMDYWGQGTSVTVSSGGGGSGGGGSGGGGSNIVMTQSPKSMSMSVGERVTLSCKASENVGTYVSWYQQKPEQSPKLLIYGASNRYTGVPDRFTGSGSATDFTLTISSVQAEDLADYHCGQSYSYPWTFGGGTKLEIKRA</t>
  </si>
  <si>
    <t>16H10_d1-12</t>
  </si>
  <si>
    <t>MAPKSLTQSGDVTAAPGATVTLSCTGSGFNIKDYYLHWVKQKEGKGLEWIGWIDPENGNTFFDPKYQGKATLSADVEKNTAYLTLTNLTADDTAVYYCTRDLYYYGINDYAMDYWGQGTKVTVTAGGGGSGGGGSGGGGSYIKMTQSPASISVKVGETVTLTCTASANVGTYVSWYHQKEGQPPKLLIYGASNRYTGVPDRYVGSGSATSYTLTISSFQPEDEATYYCGQSYSYPWTFGQGTKVTLTRA</t>
  </si>
  <si>
    <t>16H10_d3-11</t>
  </si>
  <si>
    <t>MATKTLTQSGDKTVAPGSTVTLTCTGSGFNIKDYYLHWVKQKEGKGLEWIGWIDPENGNTFFDPKYEGKATLSADTAKNTAYLTITNLTAEDTAVYYCTRDLYYYGINDYAMDYWGQGTKVTVKAGGGGSGGGGSGGGGSYIKMTQSPASISVNVGETVTLNCTASSNVGTYVSWYKQKEGQPPKLLIYGASNRYTGVSDRYVGSGSATSYTLTITSFQEEDVATYYCGQSYSYPWTFGQGTKVTITRA</t>
  </si>
  <si>
    <t>16H10_d4-1</t>
  </si>
  <si>
    <t>MAPKSLTQSGAKTVAPGATVTLSCTGSGFNIKDYYLHWVKEKPGKGLEWIGWIDPENGNTFFDPKYEGKYTISADTATNTAYLTITNLTADDTATYYCTRDLYYYGINDYAMDYWGQGTLVTVTAGGGGSGGGGSGGGGSYIKMTQSPKEISVEEGETVTLNCTASANVGTYVSWYKKKPGQPPKLLIYGASNRYTGVDDRYVGSGSATSYTLTITSFRKEDEATYYCGQSYSYPWTFGQGTKLTLKRA</t>
  </si>
  <si>
    <t>16H10_d5-6</t>
  </si>
  <si>
    <t>MAPKSLTQSGDVTVAPGATVTLTCKGSGFNIKDYYLHWVKEKEGKGLEWIGWIDPENGNTFFDPRYEGKATLSADTATNTATLTLTNLTAADTATYYCTRDLYYYGINDYAMDYWGQGTKVTVTAGGGGSGGGGSGGGGSYIKVTQSPKEISVKLGESVTLNCTASANVGTYVSWYHKKEGQPPKLLIYGASNRYTGVSDRYVGSGSATNYTLTISSFQEEDVATYYCGQSYSYPWTFGQGTKLTITRA</t>
  </si>
  <si>
    <t>1B2_ori</t>
  </si>
  <si>
    <t>H4K16ac</t>
  </si>
  <si>
    <t>MAQVQLQQSGAELMKPGASVKISCKATGYTFSSYWIEWVKQRPGHGLEWIGEILPGSGSNNYNEKFKGKATFTADTSSNTAYMQLSSLTSEDSAVYYCASTDGYYWGQGTLVTVSAGGGGSGGGGSGGGGSDVVMTQTPLTLSVTIGQPASISCKSSQSLLYSNGKTYLNWLLQRPGQSPKRLIYLVSKLDSGVPDRFTGSGSGTDFTLKISRVEAEDLGVYYCVQGTHFPFTFGSGTKLEIKRA</t>
  </si>
  <si>
    <t>1B2_d1-15</t>
  </si>
  <si>
    <t>MAEKKITQSGDVTVAPGESVTLTCTVSGIDFSSYWIEWVKQKPGGPLEWIGEILPGSGSNNYNPKYQGKVTLSADVSTSTAYMTITNLTAEDTAVYYCASTDGYYWGQGTKVTVKAGGGGSGGGGSGGGGSAVKLTQSPKVLEVNLGESATINCTASKSLLYSNGKTYLNWLLQKPGEPPKRLIYLVSKLDSGVSSRYKGSGSGTKYTLTISSVKEEDLGVYYCVQGTHFPFTFGQGTKLVLKRA</t>
  </si>
  <si>
    <t>1B2_d2-1</t>
  </si>
  <si>
    <t>MAEKKITQSGDITKAPGETATLSCKVSGIDFSSYWIEWVKQKPGGPLEWIGEILPGSGSNNYNPKYQGKATFSADVSTSTAYLTLSNLTADDTATYYCASTDGYYWGQGTKLTVTAGGGGSGGGGSGGGGSAVQLTESPAVLEVTLGEPATINCTASKSLLYSNGKTYLNWLLQQPGKPPKRLIYLVSKLDSGVSSRYSGSGSGTSYTLTISSVQEEDLGTYYCVQGTHFPFTFGQGTKLVLKRA</t>
  </si>
  <si>
    <t>1B2_d3-8</t>
  </si>
  <si>
    <t>MAEKKLTQSGDQTKAPGETVTLSCTVSGIDFSSYWIEWVKQKPGGPLEWIGEILPGSGSNNYNPKYQGKVTMSADVSTSTAYMTISNLTAADTATYYCASTDGYYWGQGTKVTVTAGGGGSGGGGSGGGGSAVKLTQSPATLEVTLGEPATINCTASKSLLYSNGKTYLNWLLQKPGQPPKRLIYLVSKLDSGVSSRYKGSGSGTKYTLTISSVQEEDLGVYYCVQGTHFPFTFGQGTKLVLKRA</t>
  </si>
  <si>
    <t>1B2_d4-6</t>
  </si>
  <si>
    <t>MAPKTLTQSGDVTVKPGESVTLTCTASGRDFSSYWIEWVKQKPGKKLEWIGEILPGSGSNNYNPKYKGKATFSADVSTSTAYLTITNLTADDTATYYCASTDGYYWGQGTKVTVEAGGGGSGGGGSGGGGSAVQLTESPKVLEVTLGEPATITCTASKSLLYSNGKTYLNWLLQKPGEPPKRLIYLVSKLDSGVSSRYKGSGSGTQFTLTISSVQEEDLGVYYCVQGTHFPFTFGQGTKLVLKRA</t>
  </si>
  <si>
    <t>1B2_d5-2</t>
  </si>
  <si>
    <t>MAEKKLTQSGDVTAAPGATVTLTCTVSGIDFSSYWIEWIKQKPGGPLEWIGEILPGSGSNNYNPKYQGKATFSADVSTSTAYLTLSNLTPDDTATYYCASTDGYYWGQGTKVTVTAGGGGSGGGGSGGGGSAVKLTQSPKTLEVNLGESATINCTASKSLLYSNGKTYLNWLLQKPGEPPKRLIYLVSKLDSGVSSRYKGSGSGTKYTLTISSVKEEDLGVYYCVQGTHFPFTFGQGTKLVKKRA</t>
  </si>
  <si>
    <t>2C3ori</t>
  </si>
  <si>
    <t>H3K36me2</t>
  </si>
  <si>
    <t>MAEVQLQQSGAELMKPGASVKISCKATGYTFSSYWIEWVKQRPGHGLEWIGEIFPGSGSTNHNEKFKGKATFTADTSSNTAYMQLSSLTSEDSAVYYCASQGNYYGRRPYYFDYWGQGTTLTVSSGGGGSGGGGSGGGGSDIQMTQTTSSLSASLGDRVTISCRASQDISNYLNWYQQKPDGTVKLLIYYTSRLHSGVPSRFSGSGSGTDYSLTISNLEQEDIATYFCQQVNTLPWTFGGGTKLEIKRA</t>
  </si>
  <si>
    <t>2C3ori_d1-2</t>
  </si>
  <si>
    <t>MAPKQLTQSGPVEKKPGETVTLTCKGSGFTFSSYWIEWIKQKPGGGLEWIGEIFPGSGSTNHNPKYKGKYTLSADTSTSTAYLTITNLTPEDTATYYCASQGNYYGRRPYYFDYWGQGTKLTVKDGGGGSGGGGSGGGGSYIKITQTKSSVSANLGDTVTLNCTASADISNYLNWYKQDPNGTIKLLIYYTSRLHSGVSSRYSGSGSGTKYSLTITSFQESDIATYYCQQVNTLPWTFGQGTKVTLKRA</t>
  </si>
  <si>
    <t>2C3ori_d2-15</t>
  </si>
  <si>
    <t>MAPKKLTQSGDVTAKPGETVTLSCKGSGFTFSSYWIEWIKQKPGKGLEWIGEIFPGSGSTNHNPKYKGKYTLSADTSTSTAYLTITNLTAEDTATYYCASQGNYYGRRPYYFDYWGQGTKLTVSDGGGGSGGGGSGGGGSDIKITQTDKEVSANLGETVTLTCTASADISNYLNWYKQAPDGTIKLLIYYTSRLHSGVSSRYSGSGSGTSYSLTISSFQEEDIATYYCQQVNTLPWTFGEGTKVTLKRA</t>
  </si>
  <si>
    <t>2C3ori_d3-10</t>
  </si>
  <si>
    <t>MAPKKLTQSGPVKKKPGETATLSCTASGMTFSSYWIEWIKQKPGQGLEWIGEIFPGSGSTNHNPKYKGKYTLSADTATSTAYMTISNLTKEDTAVYYCASQGNYYGRRPYYFDYWGQGTQLTVEDGGGGSGGGGSGGGGSDIQMTQTQKSVSANLGDTVTLNCTASSDISNYLNWYKQAPDGTIKLLIYYTSRLHSGVSSRYSGSGSGTNYSLTISNFQESDIATYYCQQVNTLPWTFGQGTKLTLKRA</t>
  </si>
  <si>
    <t>2C3ori_d4-6</t>
  </si>
  <si>
    <t>MAPKKLTQSGAVTKQPGESVTLSCTVSGMTFSSYWIEWVKQKPGKGLEWIGEIFPGSGSTNHNPKYEGKYTLSADVATSTGYLTISNLTAEDTAVYYCASQGNYYGRRPYYFDYWGQGTKLTVSDGGGGSGGGGSGGGGSYIKITQTNASLSANLGETVTITCTASADISNYLNWYKQAPDGTIKLLIYYTSRLHSGVSDRYSGSGSGTSYSLTISSLQEEDLATYYCQQVNTLPWTFGQGTKLTLKRA</t>
  </si>
  <si>
    <t>2C3ori_d5-3</t>
  </si>
  <si>
    <t>MAPKKLTQSGDVTAKPGESVTLSCTVSGMTFSSYWIEWVKQKPGKGLEWIGEIFPGSGSTNHNPKYEGKYTLSADTATSTAYLTITNLTPEDTATYYCASQGNYYGRRPYYFDYWGQGTKLTVKDGGGGSGGGGSGGGGSYIQMTQTNSSVEANLGETVTLTCTASADISNYLNWYKQAPDGTIKLLIYYTSRLHSGVSSRYSGSGSGTSYSLTISSLQEEDLATYYCQQVNTLPWTFGQGTTLTLKRA</t>
  </si>
  <si>
    <t>2F3_ori</t>
  </si>
  <si>
    <t>H3K9me3</t>
  </si>
  <si>
    <t>MAQIQLVQSGPELKKPGETVKISCKASGYTFTDYSMHWVKQAPGKGLKWMGWINTETGEPTYADDFKGRFAFSLETSASTAYLQINNLKNDDTATYFCARSRFSLYYYGSNYDSYWFFDVWGAGTTVTVSSGGGGSGGGGSGGGGSNIVLTQSPASLAVSLGQRATISCRASESVDTYGNSFMHWYQQKPGQPPKLLIYLASNLESGVPARFSGSGSRTDFTLTIDPVEADDAATYYCQQNNEDPWTFGGGTKLEIKRA</t>
  </si>
  <si>
    <t>2F3_d1-10</t>
  </si>
  <si>
    <t>MAPESLTQSGDVTVAPGATVTLSCKGSGFNFTDYSMHWIKQAPGEPLKWMGWINTETGEPTYAPEFQGRYKMSIDKANSTAYLTINNVKASDTATYYCARSRFSLYYYGSNYDSYWFFDVFGQGTKVTVTAGGGGSGGGGSGGGGSYIKLTESPKELTVAEGEKATINCTASKSVDTYGNSFMHWYKQKPGQPPKLLIYLASNLESGVSSRYSGSGSRTNFTLTINPFTADDEATYYCQQNNEDPWTFGQGTKVTKARA</t>
  </si>
  <si>
    <t>2F3_d2-3</t>
  </si>
  <si>
    <t>MAPEKLVQSGDVTVAPGETVTLSCTASGFNFTDYSMHWIKQAPGQPLKWMGWINTETGEPTYAPEFKGRYTMSIDKANSTAYLTINNVTAADTATYYCARSRFSLYYYGSNYDSYWFFDVFGQGTKVTVTAGGGGSGGGGSGGGGSDIKLTQSPKELTVALGEKATINCTASKSVDTYGNSFMHWYKQKPGEPPKLLIYLASNLESGVDSRYSGSGSRTNFTLTINPVQADDEATYYCQQNNEDPWTFGQGTKLKIKRA</t>
  </si>
  <si>
    <t>2F3_d3-1</t>
  </si>
  <si>
    <t>MAEEKLEQSGDVTAAPGETVTLSCKGSGFNFTDYSMHWIKQAPGQPLKWMGWINTETGEPTYAPEFKGRYEMSINKSESTAFLTIKNLTAEDTATYYCARSRFSLYYYGSNYDSYWFFDVFGQGTKVTVTAGGGGSGGGGSGGGGSDIKLTQSPAELTVAVGEKATLNCTASKSVDTYGNSFMHWYKQKPGEPPKLLIYLASNLESGVSSRYSGSGSRTNFSLTINPVQPEDEATYYCQQNNEDPWTFGQGTKLTIKRA</t>
  </si>
  <si>
    <t>2F3_d4-12</t>
  </si>
  <si>
    <t>MAPETLTQSGDVTVAPGETVTLSCTGSGFNFTDYSMHWIKQAPGQPLKWMGWINTETGEPTYAPEFKGRYTMSLDKSQSTAYLTINNVRASDTATYYCARSRFSLYYYGSNYDSYWFFDVFGQGTKVTVSAGGGGSGGGGSGGGGSDIKLTESPKELTVALGEKAVINCTASKSVDTYGNSFMHWYKQKPGEPPKLLIYLASNLESGVSSRYSGSGSRTSFSLTINPVQAEDEAVYYCQQNNEDPWTFGQGTKLTIARA</t>
  </si>
  <si>
    <t>2F3_d5-13</t>
  </si>
  <si>
    <t>MAPETLTQSGDVTVKPGETVTLSCTGSGFNFTDYSMHWVKQAPGQPLKWMGWINTETGEPTYAPEFKGRFVMSIDKANSTAYLTINNVQASDTATYYCARSRFSLYYYGSNYDSYWFFDVWGQGTKVTVEAGGGGSGGGGSGGGGSDIKLTQSPKTLTVALGEKAVLNCTASKSVDTYGNSFMHWYKQKPGQPPKLLIYLASNLESGVDSRYSGSGSRTNFTLTINPVQADDEATYYCQQNNEDPWTFGQGTTLKIKRA</t>
  </si>
  <si>
    <t>27A6_ori</t>
  </si>
  <si>
    <t>H3K4me2</t>
  </si>
  <si>
    <t>MAQVQLQQSGAELMKPGASVKISCKATGYTFSSYWIEWVKQRPGHGLEWIGEILPGSDSTNYNEKFKGKATFTADTSSNTAYMQLSSLTSEDSAVYYCARLITTDYYFDYWGQGTTLTVSSGGGGSGGGGSGGGGSDIVMTQSHKFMSTSVGDRVSITCKASQDVSTAVAWFQQKPGQSPKLLIYWASTRHTGVPDRFTGSGSGTDYTLTISSVQAEDLAVYYCQQHYSIPFTFGSGTKLEIKRA</t>
  </si>
  <si>
    <t>27A6_d1-4</t>
  </si>
  <si>
    <t>MAPVSLTQSGDKTVAPGESVTLTCTGSGFTFSSYWIEWIKQKPGGGLEWIGEILPGSDSTNYNPKYKGKYTLSADVSTSTAYLTITNLTAEDTATYYCARLITTDYYFDYWGQGTKLTVKAGGGGSGGGGSGGGGSDIKMTQSQKTVETNVGDTVTLTCTASSDVSTAVAWFQQKPGEPPKLLIYWASTRHTGVDDRYTGSGSGTSYSLTISSFKEEDVATYYCQQHYSIPFTFGQGTKVTIKRA</t>
  </si>
  <si>
    <t>27A6_d2-2</t>
  </si>
  <si>
    <t>MAEPKLVQSGDVTAKPGESVTLSCTVSGFTFSSYWIEWIKQKPGGGLEWIGEILPGSDSTNYNPKYKGKYTLSADTATSTAYLTITNLTADDTATYYCARLITTDYYFDYWGQGTKLTVEAGGGGSGGGGSGGGGSAIQVTQTNATIETNVGDTVTINCTASADVSTAVAWFKQKPGQPPKLLIYWASTRHTGVSDRYQGSGSGTSYSLTITSFQEEDVATYYCQQHYSIPFTFGQGTKVTLKRA</t>
  </si>
  <si>
    <t>27A6_d3-10</t>
  </si>
  <si>
    <t>MAPVSLTQSGDVTAKPGESVTLSCTVSGITFSSYWIEWVKQKPGKGLEWIGEILPGSDSTNYNPKYKGKYTLSADVSTSTAYLTITNLTPDDTATYYCARLITTDYYFDYWGQGTKLTVKDGGGGSGGGGSGGGGSDIKMTQDKAKIETNVGETVTLTCTASADVSTAVAWFKQKPGQPPKLLIYWASTRHTGVDDRYTGSGSGTKYSLTISSFQEEDVATYYCQQHYSIPFTFGQGTTVTLKRA</t>
  </si>
  <si>
    <t>27A6_d4-15</t>
  </si>
  <si>
    <t>MAPVTLTQSGPVTVAPGATVTLTCTGSGFTFSSYWIEWVKQKPGGGLEWIGEILPGSDSTNYNPKYKGKYTFSADVATSTAYLTITNLTADDTATYYCARLITTDYYFDYWGQGTQLTVAAGGGGSGGGGSGGGGSDIQVTQANAEVSTNVGDTVTLTCTASADVSTAVAWFKQKPGQPPKLLIYWASTRHTGVSDRYTGSGSGTSYSLTISSFQEEDVATYYCQQHYSIPFTFGQGTKVTLKRA</t>
  </si>
  <si>
    <t>27A6_d5-7</t>
  </si>
  <si>
    <t>MAEVKLTQSGDKTVKPGETVTLSCTGTGFTFSSYWIEWIKQKPGGGLEWIGEILPGSDSTNYNPKYKGKVTLSADVATSTAYMTITNLTADDTATYYCARLITTDYYFDYWGQGTKLTVTAGGGGSGGGGSGGGGSDIKMTQTDATVETNVGETVTLTCTASSDVSTAVAWFKQKPGQPPKLLIYWASTRHTGVDDRYTGSGSGTSYSLTISSFQEEDVATYYCQQHYSIPFTFGQGTKVTLKRA</t>
  </si>
  <si>
    <t>7G8_ori</t>
  </si>
  <si>
    <t>H3K14ac</t>
  </si>
  <si>
    <t>MAQVQLQQSGAELVKSGASVKLSCKASGYTFTNYYMYWVKQRPGQGLEWIGEINPSNGGTNFNEKFKSKATLTVDKSSSTAYMQLSSLTSEDSAVYYCVSYYGSSYWYFDVWGAGTTVTVSSGGGGSGGGGSGGGGSDIVMTQSQKFMSTSVGDRVSVTCKASQNVYTNVAWYQQKPGQSPKALIYSASYRYSGVPDRFTGSGSGTDFTLTISNVQSEDLAEYFCQQYNTYPYTFGGGTKLEIKRA</t>
  </si>
  <si>
    <t>7G8_d1-15</t>
  </si>
  <si>
    <t>MATPKLTQSGDKTVNTGESVTLTCKASGYTFTNYYMYWVKQKPGGKLEWIGEINPSNGGTNFNPKYKDKAKLSVDKSNSTAYLTLTNLTTDDTATYYCVSYYGSSYWYFDVWGEGTKVTVKEGGGGSGGGGSGGGGSAIQMTQPAATVSANVGDTVTLTCTASSNVYTNVAWYKQKPGQKPKALIYSASYRYSGVSSRYTGSGSGTSYSLTISSLQTEDLATYYCQQYNTYPYTFGQGTKLTLKRA</t>
  </si>
  <si>
    <t>7G8_d2-6</t>
  </si>
  <si>
    <t>MATPTLTESGDKTVNTGSSVTLTCTGSGYTFTNYYMYWVKQKPGGPLEWIGEINPSNGGTNFNPKYKDKATLSVDKATSTAYLTITNLTLEDTATYYCVSYYGSSYWYFDVWGQGTKVTVNAGGGGSGGGGSGGGGSTIQMTQPEKEVEVNVGDTVTLTCTASANVYTNVAWYQQKPGQPPKALIYSASYRYSGVSSRYQGSGSGTSYTLTISSFQEEDLATYYCQQYNTYPYTFGQGTKVTLKRA</t>
  </si>
  <si>
    <t>7G8_d3-14</t>
  </si>
  <si>
    <t>MATPTLTESGDVTVNTGSSVTLTCKASGYTFTNYYMYWVKQKPGGPLEWIGEINPSNGGTNFNPKYKNKATLSVDKSTSTAYLTITNLTLSDTATYYCVSYYGSSYWYFDVWGKGTKVTVNRGGGGSGGGGSGGGGSAIKMTQPDKEIEANVGDTVTLKCTASANVYTNVAWYKQKPGEPPKALIYSASYRYSGVPSRYQGSGSGTNYTLTISSLQEEDVATYYCQQYNTYPYTFGQGTKLTLKRA</t>
  </si>
  <si>
    <t>7G8_d4-13</t>
  </si>
  <si>
    <t>MAEPKLTESGDKTVNTGESVTLSCTASGYTFTNYYMYWVKQKPGGPLEWIGEINPSNGGTNFNPKYKDKATLSVDKANSTAYLKLTNLTLDDTATYYCVSYYGSSYWYFDVWGAGTKVTVNAGGGGSGGGGSGGGGSAIQMTQPDAHIEANVGDTVTLTCTASSNVYTNVAWYKQKPGQPPKALIYSASYRYSGVSSRYTGSGSGTNYTLTITSLQPEDVATYYCQQYNTYPYTFGQGTTLTLKRA</t>
  </si>
  <si>
    <t>7G8_d5-8</t>
  </si>
  <si>
    <t>MATPQLTESGDKTVNTGESVTLSCTASGYTFTNYYMYWVKQKEGGPLEWIGEINPSNGGTNFNPKYKDKATLSVDKANSTAYLTLTNLTLEDTATYYCVSYYGSSYWYFDVWGKGTKVTVKEGGGGSGGGGSGGGGSNIQMTQPQKEVSVNVGDTVTLTCTASSNVYTNVAWYKQKEGEPPKALIYSASYRYSGVSSRYTGSGSGTSYTLTISSFQEDDVATYYCQQYNTYPYTFGQGTKVTLKRA</t>
  </si>
  <si>
    <t>13C9_ori</t>
  </si>
  <si>
    <t>H3K36me3</t>
  </si>
  <si>
    <t>MAQVQLQQSGAELVKPGASVKLSCKTSGYTFTRYYMYWVKQRPGQGLEWIGEINPSNGGTNFNEKFKNKATLTVDKSSSTAYMQLSSLTSEDSAVYYCTQFSYGYDVYFDYWGQGTTLTVSSGGGGSGGGGSGGGGSDIVMTQSQKFMSTSVGDRVSVTCKARQNVGTNVAWYQQRPGQSPKALIYSASYRYSGVPDRFTGSGSGTDFTLTISNVQSEDLAEYFCQQYNSYPLTFGSGTKLEIKRA</t>
  </si>
  <si>
    <t>13C9_d1-5</t>
  </si>
  <si>
    <t>MAPVTLTQSGPVTAAPGSSVTLSCKGSGFTFTRYYMYWVKQKPGGPLEWIGEINPSNGGTNFNPKYKDKATLSVDKANSTAYLTISNLTPEDTATYYCTQFSYGYDVYFDYWGQGTQLTVSSGGGGSGGGGSGGGGSDIKMTQPQASIEANVGDTVTISCTSSKNVGTNVAWYHQKPGQPPKALIYSASYRYSGVSDRYTGSGSGTSFTLTISSLQPEDVATYYCQQYNSYPLTFGQGTKVSLKRA</t>
  </si>
  <si>
    <t>13C9_d2-10</t>
  </si>
  <si>
    <t>MAEKTLTQSGDVTVKPGETVTLTCKASGFTFTRYYMYWVKQKEGGPLEWIGEINPSNGGTNFNPKYKDKVTLSVDKATSTAYMTIKNLTADDTATYYCTQFSYGYDVYFDYWGQGTKLTVTAGGGGSGGGGSGGGGSDIKMTQPQKEIETNVGDTVTINCTANKNVGTNVAWYQQKEGQPPKALIYSASYRYSGVPDRYQGSGSGTSFTLTITNFQEEDVATYYCQQYNSYPLTFGQGTKVTLKRA</t>
  </si>
  <si>
    <t>13C9_d3-14</t>
  </si>
  <si>
    <t>MAPVTLTESGDVTAKPGSTVTLTCKVSGITFTRYYMYWVKQKPGGPLEWIGEINPSNGGTNFNPKYKDKATLSVDKATSTAYLTITNLTADDTATYYCTQFSYGYDVYFDYWGQGTKLTVTSGGGGSGGGGSGGGGSDIKMTQPQAEISANVGDTVTLSCTSSSNVGTNVAWYQQKPGEPPKALIYSASYRYSGVSDRFTGSGSGTSFTLTISNLQEEDLATYYCQQYNSYPLTFGQGTKLTLKRA</t>
  </si>
  <si>
    <t>13C9_d4-3</t>
  </si>
  <si>
    <t>13C9_d5-7</t>
  </si>
  <si>
    <t>MAPVTLTQSGDVTVAPGSSVTLSCKGSGFTFTRYYMYWVKQKPGGGLEWIGEINPSNGGTNFNPKYKNKATLSVDKATSTAYLTITNLTPEDTATYYCTQFSYGYDVYFDYWGQGTKLTVTAGGGGSGGGGSGGGGSAIQMTQPQKEISANVGDTVTITCTASSNVGTNVAWYQQKPGQPPKALIYSASYRYSGVSDRYQGSGSGTNFTLTISNLQEDDLATYYCQQYNSYPLTFGQGTKLTLKRA</t>
  </si>
  <si>
    <t>3-5_ori</t>
  </si>
  <si>
    <t>MAEVQLQQSGAELVRSGASVKLSCTASGFNIIDYYMHWVKQRPDQGLEWIGWIDPENGDAEYAPKFQGKATMTADTSSNTAYLHLSSLTSEDTAVYYCNAYYRYLNAMDCWGQGTSVTVSSGGGGSGGGGSGGGGSDIVMTQSPSSLAMSVGQKVTLSCKSSQSLLNSSNQKNYLAWYQQKPGQSPKLLVYFASTRESGVPDRFIGSGSGTDFTLTISSVQAEDLADYFCQQHYSTPLTFGAGTKLELKRA</t>
  </si>
  <si>
    <t>3-5_d1-11</t>
  </si>
  <si>
    <t>MAPVQLVQSGDVTVNTGSSVTLSCTLTGANIIDYYMHWVKQHPDKGLEWIGWIDPENGDAEYAPKYQGKATLSADPANNTAYLTITNLTLEDTAVYYCNAYYRYLNAMDCWGQGTKVTVNEGGGGSGGGGSGGGGSDIKMTQSPKSIAVNVGETVTLTCTSSKSLLNSSNQKNYLAWYKQKPGQPPKLLVYFASTRESGVDDRYVGSGSGTSFTLTITSVKEEDIATYYCQQHYSTPLTFGQGTKLTLKRA</t>
  </si>
  <si>
    <t>3-5_d2-6</t>
  </si>
  <si>
    <t>MAPKSLTQSGDVTVNTGESVTLSCTGTGFNIIDYYMHWVKQKPDGGLEWIGWIDPENGDAEYAPKYKGKVTMSADPENNTSYLTITNLTLEDTAVYYCNAYYRYLNAMDCWGQGTKVTVNAGGGGSGGGGSGGGGSDIKMTQSPKSIAVNVGETVTLNCTSSQSLLNSSNQKNYLAWYHQKPGQPPKLLVYFASTRESGVDDRYVGSGSGTSFTLTITSFKEEDVATYYCQQHYSTPLTFGQGTKVTLKRA</t>
  </si>
  <si>
    <t>3-5_d3-4</t>
  </si>
  <si>
    <t>MAEKKLVQSGDVTVNTGESVTLTCTGTGFNIIDYYMHWVKEKPDGGLEWIGWIDPENGDAEYAPKYQGKAKLSADPANNTSYLEITNLTKDDTAVYYCNAYYRYLNAMDCWGQGTKVTVNEGGGGSGGGGSGGGGSDIQVTQSPSSLAVNVGETVTLNCTTSQSLLNSSNQKNYLAWYKKKPGEPPKLLVYFASTRESGVDDRYVGSGSGTSFTLTITSVQEEDVATYYCQQHYSTPLTFGQGTKLSLKRA</t>
  </si>
  <si>
    <t>3-5_d4-1</t>
  </si>
  <si>
    <t>MAEVKLVQSGDVTVNTGESVTLSCTLTGANIIDYYMHWVKQHPDKGLEWIGWIDPENGDAEYAPKYKGKATLSADPAKNTAYLTLTNLTKEDTAVYYCNAYYRYLNAMDCWGQGTKVTVLEGGGGSGGGGSGGGGSDIQMTQSPKSLAVNVGETVTLTCTSSKSLLNSSNQKNYLAWYHQKPGQPPKLLVYFASTRESGVDDRYVGSGSGTSFTLTITSFQPEDVATYYCQQHYSTPLTFGQGTKLTLKRA</t>
  </si>
  <si>
    <t>3-5_d5-8</t>
  </si>
  <si>
    <t>MAPVSLTQSGDVTVNTGESVTLSCTLSGANIIDYYMHWIKQHPDKGLEWIGWIDPENGDAEYAPKYKGKATLSADPAKNTSYLTLTNLTAEDTAVYYCNAYYRYLNAMDCWGQGTKVTVLAGGGGSGGGGSGGGGSDIQMTQSPASLAVNEGETVTLNCTSSKSLLNSSNQKNYLAWYKQQPGQPPKLLVYFASTRESGVSDRYVGSGSGTKFTLTITSVQADDVATYYCQQHYSTPLTFGQGTKLTLKRA</t>
  </si>
  <si>
    <t>4A7_ori</t>
  </si>
  <si>
    <t>H4K5ac</t>
  </si>
  <si>
    <t>MAQVQLQQSGAELARPGASVKLSCKASGYTFTSYWMQWVKQRPGQGLEWIGAIYPGDGDTRYTQQFRDKATLSADKSSSTAYMQLNSLTSEDSAVYYCVSIHYSAYFVYWGQGTLVTVSAGGGGSGGGGSGGGGSDVVMTQTPLTLSVTIGQPASISCKSSQSLLDSNGKTYLNWLLQRPGQSPKRLIFLVSKLDSGVPDRFTGSGSGTDFTLKISRVEAEDLGVYYCWQGAHFPWTFGGGTKLEIKRA</t>
  </si>
  <si>
    <t>4A7_d1-14</t>
  </si>
  <si>
    <t>MAEPKLTESGDKTVKPGETVTLTCTGSGFTFTSYWMQWVKQRPGGPLEWIGAIYPGDGDTRYTPKYKDKVELSADKATSTAYMTIKNLTAEDTATYYCVSIHYSAYFVYWGQGTKVTVEAGGGGSGGGGSGGGGSAVQLTQSPAVLEVELGQPATINCTASQSLLDSNGKTYLNWLLQQPGQPPKRLIFLVSKLDPGVSDRYKGSGSGTQYTLTISSFQEEDLGVYYCWQGAHFPWTFGQGTTLTIKRA</t>
  </si>
  <si>
    <t>4A7_d2-10</t>
  </si>
  <si>
    <t>MAPPTLTESGDVVAKPGETVTLSCKASGFTFTSYWMQWVKQKPGGKLEWIGAIYPGDGDTRYTPKYKDKATLSADKATSTAYLTLKNLTPEDTATYYCVSIHYSAYFVYWGEGTKVTVEAGGGGSGGGGSGGGGSAVQLTQSPKTLAVELGEPATINCTASQSLLDSNGKTYLNWLLQKPGQKPKRLIFLVSKLDEGVSSRYKGSGSGTQYTLTISSVKEEDLGVYYCWQGAHFPWTFGEGTKLVKKRA</t>
  </si>
  <si>
    <t>4A7_d3-9</t>
  </si>
  <si>
    <t>MATPTLTESGDVTVAPGATATLTCTASGFTFTSYWMQWVKQKPGGPLEWIGAIYPGDGDTRYTPKYKDKVTLSADKATSTATMTITNLTADDTATYYCVSIHYSAYFVYWGQGTKLTVTAGGGGSGGGGSGGGGSAVKLTQSPKVLEVELGEPATINCTASQSLLDSNGKTYLNWLLQKPGQPPKRLIFLVSKLDPGVSERYKGSGSDTSYTLTISSVRPEDLGTYYCWQGAHFPWTFGQGTKLVEKRA</t>
  </si>
  <si>
    <t>4A7_d4-6</t>
  </si>
  <si>
    <t>MAPHTLTESGDVVKKPGETATLTCTASGFTFTSYWMQWVKQKPGGKLEWIGAIYPGDGDTRYTPKYKDKVTLSADKATSTAYMTIKNLTPEDTATYYCVSIHYSAYFVYWGEGTKLTVTAGGGGSGGGGSGGGGSAVKLTQSPAVLEVKLGEPATINCTASQSLLDSNGKTYLNWLLQKPGQKPKRLIFLVSKLDPGVSSRYKGSGSGTQYTLTISSFQKEDLGVYYCWQGAHFPWTFGQGTKVVEKRA</t>
  </si>
  <si>
    <t>4A7_d5-5</t>
  </si>
  <si>
    <t>MAEPKLTESGDVTVAPGATATLTCTASGFTFTSYWMQWVKQKPGGPLEWIGAIYPGDGDTRYTPKYKDKATLSADKATSTAYLTINNLTAEDTATYYCVSIHYSAYFVYFGQGTKLTVTAGGGGSGGGGSGGGGSAVQLTQSPAVLAVELGEPATINCTASQSLLDSNGKTYLNWLLQKPGQPPKRLIFLVSKLDPGVSSRYKGSGSGTQYTLTISSVQPEDLGTYYCWQGAHFPWTFGQGTLLVEKRA</t>
  </si>
  <si>
    <t>50B3_ori</t>
  </si>
  <si>
    <t>H4 K12ac</t>
  </si>
  <si>
    <t>MAQVQLQQSGPQLVRPGASVKISCKASGYSFTTYWMHWVKQRPGQGLEWIGMIDPSDSETRLNQKFKDKATLTVDKSSSTAYMQLSSPTSEDSAVYYCAKESYGYDDNYWGQGTTLTVSSGGGGSGGGGSGGGGSQIVLTQSPAIMSASPGEKVTMTCSVSSSVSYMYWYQQKPGSSPRLLIYDTSNLASGVPVRFSGSGSGTSYSLTISRMEAEDAATYYCQQWSSYPYTFGGGTKLEIKRA</t>
  </si>
  <si>
    <t>50B3_d1-12</t>
  </si>
  <si>
    <t>MAPVKLTQSGDVTVAPGATVTLSCTGSGFSFTTYWMHWVKQKPGGKLEWIGMIDPSDSETRLNPKYADKATLSVDKATSTSYLTIHAPTAADSATYYCAKESYGYDDNYWGQGTKLTVSAGGGGSGGGGSGGGGSYIQLTQSPKEISAFPGEKVTLTCSASSPVSYMYWYKQKPGQPPRLLIYDTSNLASGVSSRYSGSGSGTSWSLTISSFQPEDEATYYCQQWSSYPYTFGQGTKLTLKRA</t>
  </si>
  <si>
    <t>50B3_d2-5</t>
  </si>
  <si>
    <t>MAEVKLEQSGDQTVAPGSTVTLTCKGSGFSFTTYWMHWVKQKPGGKLEWIGMIDPSDSETRLNPKYKDKVTLSVDKATSTAYLTIKAPTPADTATYYCAKESYGYDDNYWGQGTKLTVAAGGGGSGGGGSGGGGSYIQLTQSPAEIEAFPGEKVTLTCDASSPVSYMYWYKQKPGQPPRLLIYDTSNLASGVSSRYSGSGSGTHWSLTISSFKEEDVATYYCQQWSSYPYTFGQGTLVRLKRA</t>
  </si>
  <si>
    <t>50B3_d3-1</t>
  </si>
  <si>
    <t>MAEVKLTESGDVTVAPGSTVTLSCKGSGFSFTTYWMHWVKQKPGQKLEWIGMIDPSDSETRLNPKYKDKYTLSVDKETSTAYLTIKAPTPEDTAVYYCAKESYGYDDNYWGQGTKLTVTAGGGGSGGGGSGGGGSYIQLTQSPATISAAPGETVTLTCNASSPVSYMYWYKQKPGQPPRLLIYDTSNLASGVSSRYSGSGSGTSWSLTISSFQPEDVATYYCQQWSSYPYTFGQGTTLNLKRA</t>
  </si>
  <si>
    <t>50B3_d4-13</t>
  </si>
  <si>
    <t>MAPVQLVQSGAQTVAPGSTVTLTCKGSGFSFTTYWMHWVKQKPGGKLEWIGMIDPSDSETRLNPKYKDKYTLSVDKATSTAYLTITAPTVADTATYYCAKESYGYDDNYWGQGTTLTVTAGGGGSGGGGSGGGGSDIVLTQSPSTISAAPGEKVTLTCSASSPVSYMYWYKQKPGQPPRLLIYDTSNLASGVSSRYSGSGSGTSWSLTISSFQPEDVATYYCQQWSSYPYTFGQGTKLELKRA</t>
  </si>
  <si>
    <t>50B3_d5-4</t>
  </si>
  <si>
    <t>MAEVKLTQSGDVTVAPGSTVTLSCKGSGFSFTTYWMHWVKQKPGGPLEWIGMIDPSDSETRLNPKYKDKFTLSVDKETSTSYLTIHAPTAEDSATYYCAKESYGYDDNYWGQGTLLTVEAGGGGSGGGGSGGGGSDIQLTQSPAEISAAPGETVTLTCAASSPVSYMYWYKQKPGQPPRLLIYDTSNLASGVSSRYSGSGSGTSWSLTISSFQEEDVATYYCQQWSSYPYTFGQGTKLTLKRA</t>
  </si>
  <si>
    <t>10-20_ori</t>
  </si>
  <si>
    <t>H3S28ph</t>
  </si>
  <si>
    <t>MAQVQLQQSGAELVRPGASVTLSCKASGYTFTDYEIHWVKQTPVHGLEWIGAIDPETGGTAYNQKFKGKATLTADKSSSTAYMELRTLTSEDSAVYYCTSYGGVYWGQGTLVTVSAGGGGSGGGGSGGGGSDVLMTQTPLSLPVSLGDQASISCRSSQSIVHSNGNTYLEWYLQKPGQSPKLLIYKVSNRFSGVPDRFSGSGTGTDFTLKISRVEAEDLGVYYCFQGSHVPYTFGGGTKLEIKRA</t>
  </si>
  <si>
    <t>10-20_d1-6</t>
  </si>
  <si>
    <t>MAEKTLTESGDKTVAPGADVTLSCTVSGTTFTDYEIHWVKYTKDTGFEWIGAIDPETGGTAYNPKYQGKYELSADKATSTAYMTIKNLTASDTATYYCTSYGGVYWGQGTKVTVTAGGGGSGGGGSGGGGSDVKLTESPKTKEVNLGDKVTINCTASSDIVHSNGNTYLEWYLQKEGEPPKLLIYKVSNRFSGVSDRYSGSGSGTNYTLTISSVQEEDLGTYYCFQGSHVPYTFGQGTKLVLKRA</t>
  </si>
  <si>
    <t>10-20_d2-13</t>
  </si>
  <si>
    <t>MAERKLTESGDKTVQPGESVTLTCTVSGTTFTDYEIHWVKYTEEKGFEWIGAIDPETGGTAYNPKYQGKATLSADKATSTAYLTLNNLTPEDTAVYYCTSYGGVYWGQGTKVTVKAGGGGSGGGGSGGGGSNVKLTQSPKVKEANEGDKVTINCTASSDIVHSNGNTYLEWYLQKEGEPPKLLIYKVSNRFSGVSDRYSGSGSGTNYTLTISSYKPEDEGTYYCFQGSHVPYTFGQGTKLVLKRA</t>
  </si>
  <si>
    <t>10-20_d3-10</t>
  </si>
  <si>
    <t>MAEKTLTQSGDKTVKPGESVTLSCKVSGTTFTDYEIHWVKYTKDTGFEWIGAIDPETGGTAYNPKFQGKAELSADKATSTGYLTLKNLTPEDTATYYCTSYGGVYWGQGTKVTVEAGGGGSGGGGSGGGGSNVQLTESPKVKEVNIGDSVTINCTASKDIVHSNGNTYLEWYLQKEGEPPKLLIYKVSNRFSGVSDRYSGSGSGTSYTLNISSFQPEDLGTYYCFQGSHVPYTFGQGTKVVLKRA</t>
  </si>
  <si>
    <t>10-20_d4-15</t>
  </si>
  <si>
    <t>MAEKTLTESGDKTVQPGETVTLTCTVSGTTFTDYEIHWVKYTPEKGFEWIGAIDPETGGTAYNPKYQGKYTLSADKATSTAYLTIKNLTPEDTATYYCTSYGGVYWGQGTKVTVKSGGGGSGGGGSGGGGSDVKLTQSPKVLEVNLGETATINCTASSSIVHSNGNTYLEWYLQKEGEPPKLLIYKVSNRFSGVSDRFSGSGSGTSYTLTISSVQEEDLGTYYCFQGSHVPYTFGQGTKLVLKRA</t>
  </si>
  <si>
    <t>10-20_d5-14</t>
  </si>
  <si>
    <t>MAEKKLVESGDKTVAPGASVTLTCTVSGTTFTDYEIHWVKYTEKNGFEWIGAIDPETGGTAYNPKYKGKVTLSADKATSTAYMTISNLTAEDTATYYCTSYGGVYWGQGTKVTVEAGGGGSGGGGSGGGGSNVQLTESPKVKEVNLGDSVTINCTASKDIVHSNGNTYLEWYLQKEGEPPKLLIYKVSNRFSGVSDRYSGSGSGTNYTLTISSFKEEDLGTYYCFQGSHVPYTFGQGTKVVLKRA</t>
  </si>
  <si>
    <t>16B3_ori</t>
  </si>
  <si>
    <t>H3T3ph</t>
  </si>
  <si>
    <t>MAQIQLVQSGPELKKPGETVKISCKASGYTFTNYGMNWVKQAPGKGLKWMGWINTYTGEPTYADDFKGRFAFSLETSASTAYLQINNLKNEDTATYFCAREGVVGRGYAMDYWGQGTSVTVSSGGGGSGGGGSGGGGSDVLMTQTPLSLPVSLGDQASISCRSSQSIVHSNGNTYLEWYLQKPGQSPKLLIYKVSNRFSGVPDRFSGSGSGTDFTLKISRVEAEDLGVYYCFQGSHVPYTFGGGTKLEIKRA</t>
  </si>
  <si>
    <t>16B3_d1-5</t>
  </si>
  <si>
    <t>MAEVKLTQSGDVTVKPGETVTLSCKGSGFDFTNYGMNWVKQAPGEPLKWMGWINTYTGEPTYAPEFKGRYTMSLDVSNSTAYLTINNVQPEDTATYYCAREGVVGRGYAMDYWGQGTKVTVTAGGGGSGGGGSGGGGSAVKLTESPAVKEVNIGDSATINCTASKSIVHSNGNTYLEWYLQKPGQPPKLLIYKVSNRFSGVSDRYSGSGSGTSYTLNISSVQPEDLGTYYCFQGSHVPYTFGQGTKLVLKRA</t>
  </si>
  <si>
    <t>16B3_d2-8</t>
  </si>
  <si>
    <t>MAPVSLTQSGDVTVKPGETVTLSCKASGFDFTNYGMNWIKQAPGQPLKWMGWINTYTGEPTYAPEFKGRYVMSIDKANSTSYLTIKNVKPEDTATYYCAREGVVGRGYAMDYWGQGTKVTVTSGGGGSGGGGSGGGGSAVQLTESPKTLEVNLGDSATINCTASKSIVHSNGNTYLEWYLQKPGQPPKLLIYKVSNRFSGVSDRYSGSGSGTSYSLNISSVKEEDLGTYYCFQGSHVPYTFGQGTKLVLKRA</t>
  </si>
  <si>
    <t>16B3_d3-14</t>
  </si>
  <si>
    <t>MAPVTLTQSGDITAKPGETVTISCKASGFDFTNYGMNWVKQAPGQPLKWMGWINTYTGEPTYAPEFKGRFKMSIDKANSTAYLTINNLQASDTATYYCAREGVVGRGYAMDYWGQGTKVTVSAGGGGSGGGGSGGGGSAVQLTESPATLEVNLGDSATINCTASKSIVHSNGNTYLEWYLQKPGQPPKLLIYKVSNRFSGVSDRYSGSGSGTSYTLTISSVKEEDFGTYYCFQGSHVPYTFGQGTKLVKKRA</t>
  </si>
  <si>
    <t>16B3_d4-11</t>
  </si>
  <si>
    <t>MAEIKLVQSGDVTARPGETVTLSCKGSGFDFTNYGMNWVKQAPGQPLKWMGWINTYTGEPTYAPEFKGRFVMSLDVSNSTAYLTINNLRPEDTAVYYCAREGVVGRGYAMDYWGQGTRVTVTEGGGGSGGGGSGGGGSAVKLTESPKVLEVNLGDKATINCTASRSIVHSNGNTYLEWYLQKPGQPPKLLIYKVSNRFSGVSDRYSGSGSGTKYTLTISNVQEEDLGTYYCFQGSHVPYTFGEGTKLVLKRA</t>
  </si>
  <si>
    <t>16B3_d5-2</t>
  </si>
  <si>
    <t>MAEKTLTQSGDLTKKPGETATLSCKASGFNFTNYGMNWIKQAPGEPLKWMGWINTYTGEPTYAPEFKGRFTMSLDVSNSTAYLTINNLQPEDTATYYCAREGVVGRGYAMDYWGQGTKLTVTAGGGGSGGGGSGGGGSEVVLTESPKTLEVNLGDTATINCTASKSIVHSNGNTYLEWYLQKPGQPPKLLIYKVSNRFSGVSDRYSGSGSGTSYTLTISSVQEEDLGTYYCFQGSHVPYTFGQGTKLVLKRA</t>
  </si>
  <si>
    <t>19A5_ori</t>
  </si>
  <si>
    <t>H3K4me1</t>
  </si>
  <si>
    <t>MAEVQLQQSGAELVRSGASVKLSCTASGFNIKDYYMNWVKKRPEQGLEWIGWIDPENGDTEYAPKFQGKATMTADTSSNTAYLQLSSLTSEDTAVYYCNDGEYWGQGTPLTVSSGGGGSGGGGSGGGGSDVVMTQTPLTLSVTIGQPASISCKSSQSLLDSDGKTYLNWLLQRPGQSPKRLIYLVSKLDSGVPDRFTGSGSGTDFTLKISRVEAEDLGVYYCWQGTHFPRTFGGGTKLEIKRA</t>
  </si>
  <si>
    <t>19A5_d1-3</t>
  </si>
  <si>
    <t>MAPKALTQSGAVTVTTGSSVTLTCTATGFNIKDYYMNWVKQKEDGPLEWIGWIDPENGDTEYAPKYQGKATLSADTANNTTYLTLSNLTTEDTATYYCNDGEYWGQGTKLTVTAGGGGSGGGGSGGGGSATVLTQSPKVLEVKLGEPATINCTTSQSLLDSDGKTYLNWLLQKEGQPPKRLIYLVSKLDSGVSSRYKGSGSGTSYTLTISSVQEEDLGTYYCWQGTHFPRTFGQGTKLVLKRA</t>
  </si>
  <si>
    <t>19A5_d2-11</t>
  </si>
  <si>
    <t>MAPKALTQSGAVTKNTGSSVTLTCTATGFNIKDYYMNWVKQKADGGFEWIGWIDPENGDTEYAPKYQGKATLSADTANNTAYLTLSNLTTADTATYYCNDGEYWGQGTKLTVNAGGGGSGGGGSGGGGSATVLTESPKVLEVNLGDPATINCTSSSSLLDSDGKTYLNWLLQKEGQAPKRLIYLVSKLDSGVSSRYSGSGSGTSYTLTISSVQEEDLGVYYCWQGTHFPRTFGQGTKLVLKRA</t>
  </si>
  <si>
    <t>19A5_d3-12</t>
  </si>
  <si>
    <t>MAPKALTQSGPVTKNTGESVTLSCTATGFNIKDYYMNWVKQKPDGPLEWIGWIDPENGDTEYAPKYQGKATLSADTANNTTYLTLSNLTTEDTATYYCNDGEYWGQGTPLTVTAGGGGSGGGGSGGGGSAVQLTQSPAVLEVNLGEPATINCTSSKSLLDSDGKTYLNWLLQKPGQPPKRLIYLVSKLDSGVSSRYKGSGSGTKYTLTISSVQEEDLGTYYCWQGTHFPRTFGQGTKLVLKRA</t>
  </si>
  <si>
    <t>19A5_d4-4</t>
  </si>
  <si>
    <t>MAPKALTQSGPVTKTTGSSVTLTCTATGFNIKDYYMNWVKQHPDGGLEWIGWIDPENGDTEYAPKYQGKATLSADTANNTAYLTISNLTTSDTATYYCNDGEYWGQGTPLTVTAGGGGSGGGGSGGGGSAVVLTESPAVLEVNLGEPASISCTSSKSLLDSDGKTYLNWLLQQPGQPPKRLIYLVSKLDSGVSSRYSGSGSGTSYTLNISSVQEEDLGTYYCWQGTHFPRTFGQGTKLVLKRA</t>
  </si>
  <si>
    <t>19A5_d5-10</t>
  </si>
  <si>
    <t>MAPKQLVQSGPVTVNTGESVTLSCTGTGFNIKDYYMNWVKQKPDGPLEWIGWIDPENGDTEYAPKYQGKATLSADTENNTVYLTLSNLTTADTATYYCNDGEYWGQGTPLTVTAGGGGSGGGGSGGGGSAVQLTQSPAVLEVNLGEPATITCTSSKSLLDSDGKTYLNWLLQKPGQPPKRLIYLVSKLDSGVSSRYSGSGSGTQYTLTISSVQEEDLGVYYCWQGTHFPRTFGQGTKLVLKRA</t>
  </si>
  <si>
    <t>1B3_ori</t>
  </si>
  <si>
    <t>H3K27me1</t>
  </si>
  <si>
    <t>MAEVQLQQSGAELVRPGALVKLSCKASGFNIKDYYMYWVKQRPEQGLEWIGWIDPENGNTIYDPKFQGKASITADTSSNTAYLHLSSLTSEDTAVYFCETTGGRYFDVWGAGTTVTVSSGGGGSGGGGSGGGGSDVLMTQTPLSLPVSLGDQASISCRSSQSIVHSNGNTYLEWYLQKPGQSPKLLIYKVSNRFSGVPDRFSGSGSGTDFTLKISRVEAEDLGVYYCFQGSHVPYTFGGGTKLEIKRA</t>
  </si>
  <si>
    <t>1B3_d1-11</t>
  </si>
  <si>
    <t>MAPRTLTQSGDVTVAPGATVTLTCKGSGFNIKDYYMYWIKQKEGKGLEWIGWIDPENGNTIYDPKFVGKYTLSADPEKNTAYLTITNVTADDTAVYYCETTGGRYFDVWGQGTKVTVTSGGGGSGGGGSGGGGSKVVLTQSPKELPVNLGDSATINCTASQDIVHSNGNTYLEWYLQKEGQPPKLLIYKVSNRFSGVSDRYSGSGSGTSYTLTISSVQEEDLGTYYCFQGSHVPYTFGQGTKLVLKRA</t>
  </si>
  <si>
    <t>1B3_d2-15</t>
  </si>
  <si>
    <t>MAPKKLVQSGDKTVAPGATVTLTCKGSGFNIKDYYMYWVKQKEGKGLEWIGWIDPENGNTIYDPRFEGKYTLSADTANNTGYLTITNVTADDTAVYYCETTGGRYFDVWGQGTKVTVKAGGGGSGGGGSGGGGSRVVLTESPATLPVNLGETATINCTASRDIVHSNGNTYLEWYLQKEGQPPKLLIYKVSNRFSGVSDRYSGSGSGTNYTLTISSVQEEDLGTYYCFQGSHVPYTFGQGTKVVLKRA</t>
  </si>
  <si>
    <t>1B3_d3-12</t>
  </si>
  <si>
    <t>MAPVALTQSGDVTAAPGSTVTLTCTLSGANIKDYYMYWVKQKPGKGLEWIGWIDPENGNTIYDPKYEGKYTLSADPAKNTAYLTITNLTAEDTAVYYCETTGGRYFDVWGQGTKVTVTAGGGGSGGGGSGGGGSRVVLTESPATLEVNEGDTATINCTASKDIVHSNGNTYLEWYLQKPGQPPKLLIYKVSNRFSGVSDRYSGSGSGTSYTLTISSVQPEDLGTYYCFQGSHVPYTFGQGTKLVLKRA</t>
  </si>
  <si>
    <t>1B3_d4-5</t>
  </si>
  <si>
    <t>MAEVKLTQSGDVTAAPGSTVTLTCTLSGANIKDYYMYWVKQKEGKGLEWIGWIDPENGNTIYDPKYVGKYTLSADPANNTSYLTITNLTAEDTATYYCETTGGRYFDVWGQGTKVTVTAGGGGSGGGGSGGGGSRIVLTQSPKVKEVNLGEEVTLNCTASSDIVHSNGNTYLEWYLQKEGEPPKLLIYKVSNRFSGVSDRYSGSGSGTKYTLKISSFKEEDLGTYYCFQGSHVPYTFGQGTKIVLKRA</t>
  </si>
  <si>
    <t>1B3_d5-9</t>
  </si>
  <si>
    <t>MAPVTLTQSGDVTVKPGSTVTLSCTLSGANIKDYYMYWVKQKEGKGLEWIGWIDPENGNTIYDPKYVGKYTLSADPAKNTAYLTITNVTAEDTAVYYCETTGGRYFDVWGQGTKLTVEAGGGGSGGGGSGGGGSRVVLTQSPKVKEANLGDSVTLNCTASKDIVHSNGNTYLEWYLQKEGQPPKLLIYKVSNRFSGVSDRYSGSGSGTSYTLTISSFKPEDLGTYYCFQGSHVPYTFGQGTKLVLKRA</t>
  </si>
  <si>
    <t>1C6_ori</t>
  </si>
  <si>
    <t>H3K9un</t>
  </si>
  <si>
    <t>MAEVQLQQSGAELVRSGASVTLSCTASGFNIKDYYVHWVNQRPEQGLEWIGWIDPENGDTEYAPKFQGKATVTADTSSNTAYLQLSSLTSEDTAVYYCNLYGNFYFDYWGQGTTLTVSSGGGGSGGGGSGGGGSDVVMTQTPLTLSVTIGQPASISCKSSQSLLDSDGKTYLNWLLLRPGQSPTRLIYLVSKLDSGVPDRFTGSGSGTDFTLKISRVEAEDLGVYYCWQGTHFPYTFGGGTTLEIKRA</t>
  </si>
  <si>
    <t>1C6_d1-9</t>
  </si>
  <si>
    <t>MAPKSLTQSGDVTVNTGSSVTLSCTLSGANIKDYYVHWVKEKPGKGFEWIGWIDPENGDTEYAPKYQGKATLSADPANNTAYLTITNLTTADTAVYYCNLYGNFYFDYWGQGTKLTVNAGGGGSGGGGSGGGGSVTQLTESPAVLEVNLGEPATINCTASSSLLDSDGKTYLNWLLKKPGQAPTRLIYLVSKLDSGVSSRYKGSGSGTNYTLTISSFQKEDLGVYYCWQGTHFPYTFGQGTTLVEKRA</t>
  </si>
  <si>
    <t>1C6_d2-11</t>
  </si>
  <si>
    <t>MAPRSLTQSGAVTANTGSSVTLTCTGTGFNIKDYYVHWVREKPGKGFEWIGWIDPENGDTEYAPKYQGKATLSADPEKNTAYLTITNLTTSDTAVYYCNLYGNFYFDYWGQGTTLTVNAGGGGSGGGGSGGGGSAVQLTQSPKTLEVNLGESATINCTASQSLLDSDGKTYLNWLLKKPGQAPTRLIYLVSKLDSGVSSRYSGSGSGTSYTLTISSVQKEDLGVYYCWQGTHFPYTFGQGTKLVEKRA</t>
  </si>
  <si>
    <t>1C6_d3-1</t>
  </si>
  <si>
    <t>MAPRALTQSGSVTVTTGSSVTLSCTYTGGNIKDYYVHWVREKPGKGFEWIGWIDPENGDTEYAPKYKGKATLSADPEKNTSYLTITNLTTDDTATYYCNLYGNFYFDYWGQGTKLTVLAGGGGSGGGGSGGGGSTVKLTESPKVLEVRLGEPATINCTASKSLLDSDGKTYLNWLLKKPGQAPTRLIYLVSKLDSGVSSRYKGSGSGTKYTLTISSVQPEDLGVYYCWQGTHFPYTFGQGTKLVEKRA</t>
  </si>
  <si>
    <t>1C6_d4-6</t>
  </si>
  <si>
    <t>MATKSLTQSGDVTVKEGESVTLTCTGSGFNIKDYYVHWIREKPGKGFEWIGWIDPENGDTEYAPKYQGKATLSADPANNTAYLKITNLTTEDTATYYCNLYGNFYFDYFGQGTKLTVLKGGGGSGGGGSGGGGSVVKLTESPKTLAVKLGEPATITCTASKSLLDSDGKTYLNWLLKKPGQAPTRLIYLVSKLDSGVSDRYKGSGSGTNYTLTISSVKPEDLGTYYCWQGTHFPYTFGEGTKLVEKRA</t>
  </si>
  <si>
    <t>1C6_d5-10</t>
  </si>
  <si>
    <t>MAPKQLVQSGPVTATTGSSVTLSCKGTGFNIKDYYVHWVREKPGKGFEWIGWIDPENGDTEYAPKYQGKATLSADPATNTAYLTITNLTTSDTAVYYCNLYGNFYFDYWGQGTQLTVLAGGGGSGGGGSGGGGSTVKLTQSPKTLSVKLGEPATINCTASQSLLDSDGKTYLNWLLKKPGQAPTRLIYLVSKLDSGVSSRYKGSGSGTNYTLTISSVQESDLGTYYCWQGTHFPYTFGEGTKLVITRA</t>
  </si>
  <si>
    <t>27F10_ori</t>
  </si>
  <si>
    <t>H4K20me3</t>
  </si>
  <si>
    <t>MAEVQLVESGGGLVKPGGSLKLSCAASGFTFSTYAMSWVRQSPEKRLEWVAEISTGGSYTYYPDTVTGRFTISRDNAKNTLYLEMSSLRSEDTAMYYCARDPDYSYALDYWGQGTSVTVSSGGGGSGGGGSGGGGSDVVMTQTPLTLSVTIGQPASISCKSSQSLLYSNGKTYLNWLLQRPGQSPKRLIYLVSKLDSGVPDRFTGSGSGTDFTLKISRVEAEDLGVYYCVQGTHFPYTFGGGTKLEIKRA</t>
  </si>
  <si>
    <t>27F10_d1-11</t>
  </si>
  <si>
    <t>MAPVQLVESGGGTVAPGGSVTLSCKGSGFTFSTYAMSWVRQSPDQVLEWVAEISTGGSYTYYPEKYKGRFTASRDDASSTAYLNMTNLTPEDTGTYYCARDPDYSYALDYWGQGVQVTVEAGGGGSGGGGSGGGGSEVVLTESPATLAVTLGEPATINCTASKSLLYSNGKTYLNWLHQAPGQPPKRLIYLVSKLDSGVSSRYKGSGSGTSYTLTISSVQEEDLGVYYCVQGTHFPYTFGQGTKLVLKRA</t>
  </si>
  <si>
    <t>27F10_d2-14</t>
  </si>
  <si>
    <t>MAPVTLTESGGGTVPPGGSATLSCKGSGFTFSTYAMSWVRQSADNKLEWVAEISTGGSYTYYPEKYKGRFTASRDDAASTAYLEMKDLKPEDTGTYYCARDPDYSYALDYWGQGVKLTVEAGGGGSGGGGSGGGGSEVQLTESPAVLEVTLGEPATINCTASKSLLYSNGKTYLNWLLQKEGEAPKRLIYLVSKLDSGVSSRYKGSGSGTSFTLTISSVQEEDLGIYYCVQGTHFPYTFGQGTKLVLKRA</t>
  </si>
  <si>
    <t>27F10_d3-5</t>
  </si>
  <si>
    <t>MAPVTLTESGGGTVAPGGSVTLSCKASGFTFSTYAMSWVRQSADQKLEWVAEISTGGSYTYYPEKVKGRFTASRDDANSTAYLAMSNLTPEDTGTYYCARDPDYSYALDYWGQGVQVTVTAGGGGSGGGGSGGGGSEVKLTQSPAVLEVTLGEPATINCTSSKSLLYSNGKTYLNWLHQAPGEAPKRLIYLVSKLDSGVSSRYKGSGSGTSYTLTISSVKEEDLGVYYCVQGTHFPYTFGQGTKLVKKRA</t>
  </si>
  <si>
    <t>27F10_d4-7</t>
  </si>
  <si>
    <t>MAPVTLTESGGGTVAPGGSVTLSCKASGFTFSTYAMSWVRMSADQKLEWVAEISTGGSYTYYPEKYKGRFTASRDDATSTAYLNMSNLTASDTGTYYCARDPDYSYALDYWGQGVAVTVTAGGGGSGGGGSGGGGSEVKMTQSPKVLEVKLGEPATINCTSSKSLLYSNGKTYLNWLLQQPGQPPKRLIYLVSKLDSGVSPRYKGSGSGTSYTLSISSVQPEDFGVYYCVQGTHFPYTFGEGTLLREKRA</t>
  </si>
  <si>
    <t>27F10_d5-15</t>
  </si>
  <si>
    <t>MAPVTLTESGGGTVAPGGSVTLSCKASGFTFSTYAMSWVRMSADQRLEWVAEISTGGSYTYYPEKYKGRFKASRDDSSSTAYLEMSNLTPEDTGTYYCARDPDYSYALDYWGQGVQLTVTAGGGGSGGGGSGGGGSAVQLTESPAELAVTLGEPATINCTASKSLLYSNGKTYLNWLLQQPGQPPKRLIYLVSKLDSGVSSRYKGSGSGTKYTLTISSVKEEDLGVYYCVQGTHFPYTFGQGTKLVLKRA</t>
  </si>
  <si>
    <t>2B8_ori</t>
  </si>
  <si>
    <t>H3K9me1</t>
  </si>
  <si>
    <t>MAQIQLVQSGPELKKPGETVKISCKASGYTFTNYGMNWVKQAPGKGLKWMGWINTYTGEPTYADDFKGRFAFSLETSASTAYLQINNLKNEDMATYFCAREEIYYDYDYFSYWGQGTLVTVSAGGGGSGGGGSGGGGSDVVMTQTPLSLPVSLGDQASISCRSSQSLVHSNGNTYLHWYLQKPGQSPKLLIYKVSNRFSGVPDRFSGSGSGTDFTLKISRVEAEDLGVYFCSQSTHVPLTFGAGTKLELKRA</t>
  </si>
  <si>
    <t>2B8_d1-2</t>
  </si>
  <si>
    <t>MAPVTLTQSGDVTVAPGETATLSCTGSGFDFTNYGMNWIKQAPGQGLKWMGWINTYTGEPTYAPEFKGRYVMSLDVSQSTAYLTINNVTASDTATYYCAREEIYYDYDYFSYWGQGTKLTVTAGGGGSGGGGSGGGGSEVQLTQSPATLEVNEGDTATINCTTSQSLVHSNGNTYLHWYLQKPGEAPKLLIYKVSNRFSGVSDRFSGSGSGTSYTLTISSVKPEDYGTYYCSQSTHVPLTFGQGTKLVPKRA</t>
  </si>
  <si>
    <t>2B8_d2-12</t>
  </si>
  <si>
    <t>MATVTLTQSGAQTVAPGETVTLTCTGSGFNFTNYGMNWIKQAPGQGLKWMGWINTYTGEPTYAPEFQGRFVMSIDKANSTAYLTINNVQPSDTATYYCAREEIYYDYDYFSYWGQGTTVTVTAGGGGSGGGGSGGGGSAVQLTQSPATLEVNLGDSATINCTTSQSLVHSNGNTYLHWYLQKPGQPPKLLIYKVSNRFSGVSDRYSGSGSGTNYTLNISNVQAEDLGTYYCSQSTHVPLTFGQGTKLVLKRA</t>
  </si>
  <si>
    <t>2B8_d3-1</t>
  </si>
  <si>
    <t>MAPVTLTQSGDVTVAPGATATLTCTGSGFDFTNYGMNWIKQAPGQGLKWMGWINTYTGEPTYAPEFQGRYVMSLDVSNSTAYLTINNVRASDTATYYCAREEIYYDYDYFSYWGQGTLLTVTAGGGGSGGGGSGGGGSAVQLTQSPAVKEVNIGDTVTLNCTASQSLVHSNGNTYLHWYLQKPGQAPKLLIYKVSNRFSGVSDRYSGSGSGTSYSLTISSFQPEDLGVYYCSQSTHVPLTFGQGTRVVLKRA</t>
  </si>
  <si>
    <t>2B8_d4-9</t>
  </si>
  <si>
    <t>MAPVTLTQSGDITKKPGETATISCTASGFDFTNYGMNWIKQAPGEGLKWMGWINTYTGEPTYAPEFKGRYVLSLDVANSTAYLTIKNLTASDTATYYCAREEIYYDYDYFSYWGQGTKLTVTAGGGGSGGGGSGGGGSAVKLTQSPKTLEVNEGDTATINCTASQSLVHSNGNTYLHWYLQKPGQPPKLLIYKVSNRFSGVSDRYSGSGSGTSYTLTISSVKPEDYGVYYCSQSTHVPLTFGQGTKLVPKRA</t>
  </si>
  <si>
    <t>2B8_d5-15</t>
  </si>
  <si>
    <t>MAPVTLTQSGDLTVAPGETATISCKASGFDFTNYGMNWVKQAPGEGLKWMGWINTYTGEPTYAPEFKGRYQLSLDVANSTAYLTINNVTPEDTATYYCAREEIYYDYDYFSYWGQGTKLTVTAGGGGSGGGGSGGGGSAVKLTQSPKTLEVNLGDTATINCTTSQSLVHSNGNTYLHWYLQKPGQPPKLLIYKVSNRFSGVSDRYSGSGSGTSYTLTISSVQAEDLGVYYCSQSTHVPLTFGQGTKLVLKRA</t>
  </si>
  <si>
    <t>37B4_ori</t>
  </si>
  <si>
    <t>H3K27un</t>
  </si>
  <si>
    <t>MAQVQLQQSGAELVRPGASVTLSCKASGYTFTDYEMHWVKQTPVHGLEWIGAIDPETGGTAYIQTFKGKATLTADKSSSTAYMELRSLTSEDSAVYYCTREGFITGAMDYWGQGTSVTVSSGGGGSGGGGSGGGGSDVVMTQTPLSLSVTIGQPASISCKSSQSLLYSNGKTYLNWLQQRPGQAPKHLMYQVSKLDPGIPDRFSGSGSETDFTLKISRVEAEDLGVYYCLQGTSYPWTFGGGTKLEIKRA</t>
  </si>
  <si>
    <t>37B4_d1-9</t>
  </si>
  <si>
    <t>MAPVKLTQSGDKTVAPGATVTLSCTGSGFTFTDYEMHWVKETPTKGLEWIGAIDPETGGTAYIPKYQGKATLSADKATSTAYLTLTNLTPADTATYYCTREGFITGAMDYWGQGTKVTVTAGGGGSGGGGSGGGGSYVKMTQSPKTLAVKLGEPATINCTSSSSLLYSNGKTYLNWYQQKPGQPPKHLMYQVSKLDPGVSSRYSGSGSDTNFTLNISSFQAEDLGVYYCLQGTSYPWTFGQGTKLVEKRA</t>
  </si>
  <si>
    <t>37B4_d2-12</t>
  </si>
  <si>
    <t>MAPVSLTQSGDQTVAPGASVTLSCKASGFTFTDYEMHWVKQTPENGLEWIGAIDPETGGTAYIPKYQGKATLSADKATSTAYLTLTNLTAEDTAVYYCTREGFITGAMDYWGQGTTVTVTAGGGGSGGGGSGGGGSYVKLTQSPKVLEVTLGEPATINCTSSSSLLYSNGKTYLNWYQQKPGQPPKHLMYQVSKLDPGVSSRYSGSGSDKNFTLTISSVQEEDLGTYYCLQGTSYPWTFGQGTKLVLKRA</t>
  </si>
  <si>
    <t>37B4_d3-6</t>
  </si>
  <si>
    <t>MAPVTLTQSGDKTVAPGASVTLSCKGSGFTFTDYEMHWVKQTEDTGLEWIGAIDPETGGTAYIPKYQGKATLSADKATSTAYLTITNLTAADTATYYCTREGFITGAMDYWGQGTKVTVTAGGGGSGGGGSGGGGSYVKMTQSPKVLEVNEGESATINCTSSSSLLYSNGKTYLNWYQQKEGQPPKHLMYQVSKLDPGVSSRYSGSGSDTQFTLTISSFQPEDLGTYYCLQGTSYPWTFGQGTKLVLKRA</t>
  </si>
  <si>
    <t>37B4_d4-1</t>
  </si>
  <si>
    <t>MAPVTLTQSGDKTVAPGATVTLTCKGSGFTFTDYEMHWVKETPETGLEWIGAIDPETGGTAYIPKYQGKVTLSADKATSTAYMTIKNLTAEDTATYYCTREGFITGAMDYWGQGTKVTVEAGGGGSGGGGSGGGGSYVKMTQSPKELAVNLGEKATINCTASSSLLYSNGKTYLNWYQQKPGQPPKHLMYQVSKLDPGVSSRYSGSGSDTKFTLTIDSVKEEDLGVYYCLQGTSYPWTFGQGTKLVKKRA</t>
  </si>
  <si>
    <t>37B4_d5-7</t>
  </si>
  <si>
    <t>MAPVTLTQSGDKTVKPGETVTLTCTGSGFTFTDYEMHWVKQTEEKGLEWIGAIDPETGGTAYIPKYKGKATLSADKATSTATLTIKNLTAEDTAVYYCTREGFITGAMDYWGQGTKVTVKSGGGGSGGGGSGGGGSYVKMTQSPKTLEVKLGEPATINCKSSSSLLYSNGKTYLNWYQQKEGQPPKHLMYQVSKLDPGVSDRYSGSGSDTNFTLNISSVQKEDEGVYYCLQGTSYPWTFGQGTKLVEKRA</t>
  </si>
  <si>
    <t>4C4_ori</t>
  </si>
  <si>
    <t>MAEVQLQQSGAELVRPGALVKLSCKASGFNIKDYYMYWGKQRPEQGLEWIGWIDPENGNTIYDPKFQGKASITADTSSNTAYLHLSSLTSEDTAVYFCETTGGRYFDVWGAGTTVTVSSGGGGSGGGGSGGGGSDVLMTQTPLSLPVSLGDQASISCRSSQSIVHSNGNTYLEWYLQKPGQSPKLLIYKVSNRFSGVPDRFSGSGSGTDFTLKISRVEAEDLGVYYCFQGSHVPYTFGGGTKLEIKRA</t>
  </si>
  <si>
    <t>4C4_d2-10</t>
  </si>
  <si>
    <t>MAPVTLTQSGDKTVLPGSTVTLTCKLSGANIKDYYMYWTKQKEGKGLEWIGWIDPENGNTIYDPKYVGKYTLSADPAKNTAYLTITNVTAEDTATYYCETTGGRYFDVWGQGTKLTVTAGGGGSGGGGSGGGGSRVKLTQSPKTLPVNLGDTATINCTASSDIVHSNGNTYLEWYLQKEGQAPKLLIYKVSNRFSGVSDRYSGSGSGTKYTLTISSFQEEDLGTYYCFQGSHVPYTFGQGTKVVLRRA</t>
  </si>
  <si>
    <t>4C4_d3-14</t>
  </si>
  <si>
    <t>MAPVTLTESGDVTVQPGATVTLTCKLSGANIKDYYMYWTKEKEGKGLEWIGWIDPENGNTIYDPRYQGKFTLSADVEKNTAYLTITNVTPDDTATYYCETTGGRYFDVWGKGTKLTVEAGGGGSGGGGSGGGGSRVQLTESPKTKEVNLGDTATINCTASSSIVHSNGNTYLEWYLKKEGEPPKLLIYKVSNRFSGVSDRYSGSGSGTSYTLTISNVKEEDLGTYYCFQGSHVPYTFGQGTKLVLKRA</t>
  </si>
  <si>
    <t>4C4_d4-2</t>
  </si>
  <si>
    <t>MAPVSLTQSGDVTVAPGATVTLSCTLSGANIKDYYMYWTKEKEGKGLEWIGWIDPENGNTIYDPKYVGKYTLSADPEKNTAYLTITNVTADDTATYYCETTGGRYFDVWGQGTKVTVSAGGGGSGGGGSGGGGSDVKLTESPKTKEVNLGDSVTLNCTASQSIVHSNGNTYLEWYLKKEGQPPKLLIYKVSNRFSGVSDRYSGSGSGTSYTLTISSFKEEDLGTYYCFQGSHVPYTFGQGTKIVLKRA</t>
  </si>
  <si>
    <t>4C4_d5-6</t>
  </si>
  <si>
    <t>MAPVTLTQSGDVTVAPGSTVTLTCTLSGANIKDYYMYWTKEKEGKGLEWIGWIDPENGNTIYDPRYVGKYTLSADPANNTAYLTITNVTPEDTAVYYCETTGGRYFDVWGQGTKLTVSSGGGGSGGGGSGGGGSRVVLTESPKVKEANLGDTVTINCTASKDIVHSNGNTYLEWYLKKEGEPPKLLIYKVSNRFSGVSDRYSGSGSGTSYTLTISNVQEEDLGVYYCFQGSHVPYTFGQGTKLVLKRA</t>
  </si>
  <si>
    <t>5A12-12_ori</t>
  </si>
  <si>
    <t>H3K27me2</t>
  </si>
  <si>
    <t>MAEVQLQQSGAEFVRSGASVKLSCTASGFKIKDYYMHWVKQRPEQGLEWIGWIDPENGDIEYGPKFQGKATMTADTSSNTAYLQLSSLTSEDTAVYYCNAYDYGAMDYWGQGTSVTVSSGGGGSGGGGSGGGGSEIVLTQSPTTMAASPGEKITITCSASSSISSNYLHWYQQKPGFPPKLLIYKTSNLASGVPARFSGSGSGTSYSLTIGTMEAEDVATYYCQQGNSIYTFGGGTKLQIKRA</t>
  </si>
  <si>
    <t>5A12-12_d1-4</t>
  </si>
  <si>
    <t>MAEKKLTQSGDVTANTGSSVTLSCTGTGFKIKDYYMHWVKQKPGKGLEWIGWIDPENGDIEYGPKFIGKATLSADPEKNTAYLTLTNLTTDDTATYYCNAYDYGAMDYWGQGTKVTVNAGGGGSGGGGSGGGGSEIKLTQSPKELSAAPGETVTLNCTASAPISSNYLHWYKQKPGEPPKLLIYKTSNLASGVSSRYSGSGSGTSFSLTISSFQESDVATYYCQQGNSIYTFGQGTKLSLKRA</t>
  </si>
  <si>
    <t>5A12-12_d2-10</t>
  </si>
  <si>
    <t>MAEKKLTQSGDVTVNTGESVTLSCTGSGFKIKDYYMHWVKEKEGKGLEWIGWIDPENGDIEYGPKFIGKATLSADPEKNTSYLTINNLTTEDTATYYCNAYDYGAMDYWGQGTKVTVNEGGGGSGGGGSGGGGSEIVLTQSPASISANPGETVTLNCTASAPISSNYLHWYKKKEGEPPKLLIYKTSNLASGVSSRYSGSGSGTQFSLTISSFKEEDVATYYCQQGNSIYTFGQGTKLSLKRA</t>
  </si>
  <si>
    <t>5A12-12_d3-9</t>
  </si>
  <si>
    <t>MAEKSLTQSGDKTVNTGESVTLSCTGSGFKIKDYYMHWVKEKPGKGLEWIGWIDPENGDIEYGPKFKGKATLSADPEKNTAYLTLTNLTTEDTATYYCNAYDYGAMDYWGQGTKVTVNEGGGGSGGGGSGGGGSEIKLTQSPKEISAAPGETVTLNCTASAPISSNYLHWYKQKPGEPPKLLIYKTSNLASGVSSRYSGSGSGTSWSLTIESFQEEDVATYYCQQGNSIYTFGQGTKVTIKRA</t>
  </si>
  <si>
    <t>5A12-12_d4-2</t>
  </si>
  <si>
    <t>MAPKSLTQSGDKTVNTGESVTLTCTGSGFKIKDYYMHWVKEKEGKGLEWIGWIDPENGDIEYGPKFKGKVELSADPEKNTAYLKITNLTTEDTATYYCNAYDYGAMDYWGQGTKVTVKEGGGGSGGGGSGGGGSEIKLTQSPKEISAAPGETVTLNCTASSPISSNYLHWYKKKEGEPPKLLIYKTSNLASGVDSRYSGSGSGTSWSLTIESFKEEDVATYYCQQGNSIYTFGQGTKVTLKRA</t>
  </si>
  <si>
    <t>5A12-12_d5-3</t>
  </si>
  <si>
    <t>MAEKSLTQSGDVTVNTGESVTLSCTGSGFKIKDYYMHWVKQKPGKGLEWIGWIDPENGDIEYGPKFKGKATLSADPENNTAYLTITNLTLADTAVYYCNAYDYGAMDYWGQGTKVTVNAGGGGSGGGGSGGGGSEIQLTQSPKEIEAAPGETVTLNCTASAPISSNYLHWYKQKPGEPPKLLIYKTSNLASGVSSRYSGSGSGTSFSLTIKSFQAEDVATYYCQQGNSIYTFGQGTKVTLKRA</t>
  </si>
  <si>
    <t>6D11_ori</t>
  </si>
  <si>
    <t>H3K9me2</t>
  </si>
  <si>
    <t>MAQVQLQQSGAELARPGTSVKLSCKASGYTFTSYWMQWVKQRPGQGLEWIGAIYPGDGDTRYTQKFKGKATLTADKSSSTAYMQLSRLASEDSAVYYCASYDHSYGLDYWGQGTSVTVSSGGGGSGGGGSGGGGSQIVLTQSPALMSASPGEKVTMTCSASSSVSYMYWYQQKPRSSPKPWIYLTSNLASGVPARFSGSGSGTSYSLTISSMEAEDAATYYCQQWSSNPLTFGAGTKLELKRA</t>
  </si>
  <si>
    <t>6D11_d1-14</t>
  </si>
  <si>
    <t>MATKTLTESGDVTVKPGESATLSCKASGFTFTSYWMQWVKQKPGGGLEWIGAIYPGDGDTRYTPKYEGKVTLSADKATSTAYMTINNLTPEDTAVYYCASYDHSYGLDYWGQGTKVTVTDGGGGSGGGGSGGGGSYIQLTESPAEVSAAPGEKVTLTCTASSPVSYMYWYKQKPGQPPKPWIYLTSNLASGVPSRFSGSGSGTSFSLTIDSFQPEDAATYYCQQWSSNPLTFGQGTKVTVKRA</t>
  </si>
  <si>
    <t>6D11_d2-9</t>
  </si>
  <si>
    <t>MATVTLTQSGDVTVAPGSSATLSCTVSGRTFTSYWMQWVKQKPGGPLEWIGAIYPGDGDTRYTPKYQGKAELSADAATSTAYLTIKNLTPEDTATYYCASYDHSYGLDYWGQGTKVTVSSGGGGSGGGGSGGGGSYIQLTQSPAEIEAAPGETVTLTCTASSPVSYMYWYKQKPGEAPKPWIYLTSNLASGVPSRFSGSGSGTSFSLTISSFQPEDAATYYCQQWSSNPLTFGQGTVLRVKRA</t>
  </si>
  <si>
    <t>6D11_d3-7</t>
  </si>
  <si>
    <t>MAPRKLTQSGDQTVQPGESVTLTCTASGFTFTSYWMQWIKQKPGGGLEWIGAIYPGDGDTRYTPKYQGKATLSADAATSTAYLTINNLTAEDTATYYCASYDHSYGLDYWGQGTKVTVSSGGGGSGGGGSGGGGSYIKLTQSPKEIEAAPGEKVTLNCRASAPVSYMYWYKQKPGEAPKPWIYLTSNLASGVDSRFSGSGSGTSFSLTIESFQEEDAATYYCQQWSSNPLTFGQGTKVTVKRA</t>
  </si>
  <si>
    <t>6D11_d4-11</t>
  </si>
  <si>
    <t>MAPRTLTQSGDVTAQPGESATLTCTASGMTFTSYWMQWIKQKPGGGLEWIGAIYPGDGDTRYTPKYEGKAELSADPATSTAYLTIKNLTAEDTAVYYCASYDHSYGLDYWGQGTKLTVSSGGGGSGGGGSGGGGSFIKLTQSPASISAAPGEKVTITCTASSPVSYMYWYKQKPGEAPKPWIYLTSNLASGVPSRFSGSGSGTQFSLTIDAFQAEDAATYYCQQWSSNPLTFGQGTKVTVKRA</t>
  </si>
  <si>
    <t>6D11_d5-2</t>
  </si>
  <si>
    <t>MAPKTLTQSGDVVAQPGSSVTLTCTVSGMTFTSYWMQWVKQKPGGGLEWIGAIYPGDGDTRYTPKYKGKVTLSADAATSTAYMTIHNLTPEDTAVYYCASYDHSYGLDYWGQGTKVTVVSGGGGSGGGGSGGGGSYIQLTQSPAEIEAAPGEKVTITCTASAPVSYMYWYKQKPGEAPKPWIYLTSNLASGVDSRFSGSGSGTHFSLTISSFQEEDVATYYCQQWSSNPLTFGQGTKVTLKRA</t>
  </si>
  <si>
    <t>72A9_ori</t>
  </si>
  <si>
    <t>H4K8ac</t>
  </si>
  <si>
    <t>MAQVQLQQSGPELVKPGASVRISCKASGYTFTSYYVQWVKQRPGQGLEWIGWIYPGNVKTEYNEKFKGKATLTADKSSSTAYMQLSSLTSEDSAVYFCARGDDGYYVDYAMDYWGQGTSVTVSSGGGGSGGGGSGGGGSDIVMTQSQKFMSTSVGDRVSVTCKASQNVGTNVAWYQQKPGQSPKALIYSASYRYSGVPDRFTGSGSGTDFTLTISNVQSEDLAEYFCQQYNSYPFTFGGGTKLEIKRA</t>
  </si>
  <si>
    <t>72A9_d1-14</t>
  </si>
  <si>
    <t>MAPVTLTQSGDVTVAPGATVTLSCKGSGFTFTSYYVQWVKQKPGGKLEWIGWIYPGNVKTEYNPAFKGKATLSADKATSTAYLTLTNLTAADTATYYCARGDDGYYVDYAMDYWGQGTKVTVTAGGGGSGGGGSGGGGSAIQMTQPEKEIEANVGDTVTITCTASSNVGTNVAWYHQKPGQPPKALIYSASYRYSGVDDRYQGSGSGTSYTLTITSLREEDVATYYCQQYNSYPFTFGQGTKVTLKRA</t>
  </si>
  <si>
    <t>72A9_d2-2</t>
  </si>
  <si>
    <t>MAPVTLTQSGDKTVAPGATVTLSCKGSGFTFTSYYVQWVKQKPGGKLEWIGWIYPGNVKTEYNPKYKGKYTLSADKSTSTAYLTITNLTADDTATYYCARGDDGYYVDYAMDYWGQGTKVTVTAGGGGSGGGGSGGGGSDIQMTQSQKTVEANVGDTVTLNCTASSNVGTNVAWYKQKPGEPPKALIYSASYRYSGVPDRYQGSGSGTSYSLTITNFQKEDEATYYCQQYNSYPFTFGQGTKVTLKRA</t>
  </si>
  <si>
    <t>72A9_d3-10</t>
  </si>
  <si>
    <t>MAPVTLTQSGDKTVAPGASVTLTCTGSGFTFTSYYVQWVKQKPGGKLEWIGWIYPGNVKTEYNPKYQGKYTLSADKATSTAYLTIKNLTPEDTATYYCARGDDGYYVDYAMDYWGQGTKVTVTAGGGGSGGGGSGGGGSAIQMTQPEKKIEANEGETVTLTCTASSNVGTNVAWYQQKPGQAPKALIYSASYRYSGVSDRYQGSGSGTSYTLTITSYQKEDEATYYCQQYNSYPFTFGQGTKLTLKRA</t>
  </si>
  <si>
    <t>72A9_d4-9</t>
  </si>
  <si>
    <t>MAPVTLTQSGDKTVAPGASVTLTCTGSGFTFTSYYVQWVKQKPGGKLEWIGWIYPGNVKTEYNEKYKGKVTLSADKATSTATMTITNLTPEDTATYYCARGDDGYYVDYAMDYWGQGTKVTVTAGGGGSGGGGSGGGGSAIQVTQPQKEVEVNVGDTVTLNCTASSNVGTNVAWYQQKPGQAPKALIYSASYRYSGVPDRYTGSGSGTSYTLTISSFQAEDVATYYCQQYNSYPFTFGQGTKVTLKRA</t>
  </si>
  <si>
    <t>72A9_d5-6</t>
  </si>
  <si>
    <t>MAPVTLTQSGDKTVAPGSTVTLSCKGSGFTFTSYYVQWVKQKPGGKLEWIGWIYPGNVKTEYNPKYKGKYTLSADKATSTAYLTITNLTADDTATYYCARGDDGYYVDYAMDYWGQGTKVTVTAGGGGSGGGGSGGGGSDIQMTQPQKEVEANVGETVTLNCTASANVGTNVAWYQQKPGQPPKALIYSASYRYSGVPDRYQGSGSGTSYTLTITNLQPEDVATYYCQQYNSYPFTFGQGTKLSLKRA</t>
  </si>
  <si>
    <t xml:space="preserve"> </t>
  </si>
  <si>
    <t>A</t>
  </si>
  <si>
    <t>plddt</t>
  </si>
  <si>
    <t>ptm</t>
  </si>
  <si>
    <t>pae</t>
  </si>
  <si>
    <t>plddt_all_atom_A</t>
  </si>
  <si>
    <t>log_likelihood</t>
  </si>
  <si>
    <t>log_likelihood_target</t>
  </si>
  <si>
    <t>SWI</t>
  </si>
  <si>
    <t>Prob. of Solubility</t>
  </si>
  <si>
    <t>chain used for evo</t>
  </si>
  <si>
    <t>plddt_all_atom_B</t>
  </si>
  <si>
    <t>plddt_all_atom_C</t>
  </si>
  <si>
    <t>B</t>
  </si>
  <si>
    <t>star rank</t>
  </si>
  <si>
    <t>hit/miss</t>
  </si>
  <si>
    <t>IPC2.protein.svr19</t>
  </si>
  <si>
    <t>pH_7.4_charge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</si>
</sst>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scheme val="minor"/>
    </font>
    <font>
      <sz val="10"/>
      <color rgb="FF000000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1"/>
      <color rgb="FF000000"/>
      <name val="&quot;Yu Gothic&quot;"/>
    </font>
    <font>
      <b/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9" fillId="2" borderId="1" applyNumberFormat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2" fillId="3" borderId="0" xfId="2"/>
    <xf numFmtId="0" fontId="2" fillId="3" borderId="0" xfId="2" applyAlignment="1">
      <alignment horizontal="left"/>
    </xf>
    <xf numFmtId="0" fontId="9" fillId="2" borderId="1" xfId="1"/>
    <xf numFmtId="0" fontId="9" fillId="2" borderId="1" xfId="1" applyAlignment="1">
      <alignment horizontal="left"/>
    </xf>
    <xf numFmtId="0" fontId="9" fillId="2" borderId="1" xfId="1" applyAlignment="1">
      <alignment horizontal="right"/>
    </xf>
    <xf numFmtId="0" fontId="2" fillId="3" borderId="0" xfId="2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52"/>
  <sheetViews>
    <sheetView tabSelected="1" zoomScale="85" zoomScaleNormal="85" workbookViewId="0">
      <selection activeCell="P157" sqref="P157"/>
    </sheetView>
  </sheetViews>
  <sheetFormatPr defaultColWidth="12.5703125" defaultRowHeight="15.75" customHeight="1"/>
  <cols>
    <col min="1" max="1" width="18.5703125" bestFit="1" customWidth="1"/>
    <col min="2" max="2" width="24.140625" bestFit="1" customWidth="1"/>
    <col min="3" max="3" width="8.28515625" bestFit="1" customWidth="1"/>
    <col min="4" max="4" width="9.42578125" bestFit="1" customWidth="1"/>
    <col min="5" max="5" width="6.7109375" customWidth="1"/>
    <col min="6" max="6" width="6.5703125" bestFit="1" customWidth="1"/>
    <col min="7" max="7" width="13.5703125" bestFit="1" customWidth="1"/>
    <col min="8" max="8" width="17.85546875" customWidth="1"/>
    <col min="9" max="9" width="18.7109375" customWidth="1"/>
    <col min="10" max="10" width="18.85546875" customWidth="1"/>
    <col min="11" max="11" width="19.5703125" style="18" customWidth="1"/>
    <col min="12" max="12" width="15.42578125" customWidth="1"/>
    <col min="13" max="13" width="21.7109375" customWidth="1"/>
    <col min="14" max="14" width="13.5703125" bestFit="1" customWidth="1"/>
    <col min="15" max="15" width="17.28515625" bestFit="1" customWidth="1"/>
    <col min="16" max="16" width="18.42578125" customWidth="1"/>
    <col min="17" max="17" width="10.85546875"/>
    <col min="18" max="18" width="19.42578125" bestFit="1" customWidth="1"/>
    <col min="19" max="19" width="17.5703125" bestFit="1" customWidth="1"/>
    <col min="20" max="20" width="255.5703125" bestFit="1" customWidth="1"/>
  </cols>
  <sheetData>
    <row r="1" spans="1:20" s="13" customFormat="1" ht="16.5" thickTop="1" thickBot="1">
      <c r="A1" s="13" t="s">
        <v>0</v>
      </c>
      <c r="B1" s="13" t="s">
        <v>1</v>
      </c>
      <c r="C1" s="13" t="s">
        <v>356</v>
      </c>
      <c r="D1" s="13" t="s">
        <v>355</v>
      </c>
      <c r="E1" s="13" t="s">
        <v>343</v>
      </c>
      <c r="F1" s="13" t="s">
        <v>344</v>
      </c>
      <c r="G1" s="13" t="s">
        <v>345</v>
      </c>
      <c r="H1" s="13" t="s">
        <v>346</v>
      </c>
      <c r="I1" s="13" t="s">
        <v>352</v>
      </c>
      <c r="J1" s="13" t="s">
        <v>353</v>
      </c>
      <c r="K1" s="15" t="s">
        <v>351</v>
      </c>
      <c r="L1" s="13" t="s">
        <v>347</v>
      </c>
      <c r="M1" s="13" t="s">
        <v>348</v>
      </c>
      <c r="N1" s="13" t="s">
        <v>349</v>
      </c>
      <c r="O1" s="13" t="s">
        <v>350</v>
      </c>
      <c r="P1" s="13" t="s">
        <v>357</v>
      </c>
      <c r="Q1" s="13" t="s">
        <v>358</v>
      </c>
      <c r="R1" s="14" t="s">
        <v>2</v>
      </c>
      <c r="S1" s="14" t="s">
        <v>3</v>
      </c>
      <c r="T1" s="13" t="s">
        <v>4</v>
      </c>
    </row>
    <row r="2" spans="1:20" s="11" customFormat="1" ht="15" thickTop="1">
      <c r="A2" s="11" t="s">
        <v>5</v>
      </c>
      <c r="B2" s="11" t="s">
        <v>6</v>
      </c>
      <c r="C2" s="11">
        <f>IF(D2="", "", IF(D2 &gt;= 1, 1, 0))</f>
        <v>0</v>
      </c>
      <c r="D2" s="11">
        <v>0</v>
      </c>
      <c r="E2" s="11">
        <v>82.658329824561406</v>
      </c>
      <c r="F2" s="11">
        <v>0.81399999999999995</v>
      </c>
      <c r="G2" s="11">
        <v>9.5992523597726702</v>
      </c>
      <c r="I2" s="11">
        <v>92.974655489453696</v>
      </c>
      <c r="J2" s="11">
        <v>29.128286956521698</v>
      </c>
      <c r="K2" s="16" t="s">
        <v>354</v>
      </c>
      <c r="L2" s="11">
        <v>-1.3463798</v>
      </c>
      <c r="M2" s="11">
        <v>-1.2201241</v>
      </c>
      <c r="N2" s="11">
        <v>0.76517743442558295</v>
      </c>
      <c r="O2" s="11">
        <v>0.32002193443198601</v>
      </c>
      <c r="P2" s="11">
        <v>5.6660000000000004</v>
      </c>
      <c r="Q2" s="11">
        <v>-2.8</v>
      </c>
      <c r="R2" s="12" t="s">
        <v>7</v>
      </c>
      <c r="S2" s="12" t="s">
        <v>7</v>
      </c>
      <c r="T2" s="11" t="s">
        <v>8</v>
      </c>
    </row>
    <row r="3" spans="1:20" ht="14.25">
      <c r="A3" s="1" t="s">
        <v>9</v>
      </c>
      <c r="B3" s="1" t="s">
        <v>6</v>
      </c>
      <c r="C3" s="1" t="str">
        <f t="shared" ref="C3:C66" si="0">IF(D3="", "", IF(D3 &gt;= 1, 1, 0))</f>
        <v/>
      </c>
      <c r="D3" s="1"/>
      <c r="G3" s="3"/>
      <c r="H3" s="3"/>
      <c r="I3" s="3"/>
      <c r="J3" s="3"/>
      <c r="K3" s="17"/>
      <c r="L3" s="3"/>
      <c r="M3" s="3"/>
      <c r="N3" s="3"/>
      <c r="O3" s="3"/>
      <c r="P3" s="19">
        <v>8.0220000000000002</v>
      </c>
      <c r="Q3">
        <v>2.2000000000000002</v>
      </c>
      <c r="R3" s="2" t="s">
        <v>7</v>
      </c>
      <c r="S3" s="2" t="s">
        <v>7</v>
      </c>
      <c r="T3" s="1" t="s">
        <v>10</v>
      </c>
    </row>
    <row r="4" spans="1:20" ht="14.25">
      <c r="A4" s="1" t="s">
        <v>11</v>
      </c>
      <c r="B4" s="1" t="s">
        <v>6</v>
      </c>
      <c r="C4" s="1" t="str">
        <f t="shared" si="0"/>
        <v/>
      </c>
      <c r="D4" s="1"/>
      <c r="G4" s="3"/>
      <c r="H4" s="3"/>
      <c r="I4" s="3"/>
      <c r="J4" s="3"/>
      <c r="K4" s="17"/>
      <c r="L4" s="3"/>
      <c r="M4" s="3"/>
      <c r="N4" s="3"/>
      <c r="O4" s="3"/>
      <c r="P4" s="19">
        <v>7.4610000000000003</v>
      </c>
      <c r="Q4">
        <v>0.2</v>
      </c>
      <c r="R4" s="2" t="s">
        <v>7</v>
      </c>
      <c r="S4" s="2" t="s">
        <v>7</v>
      </c>
      <c r="T4" s="1" t="s">
        <v>12</v>
      </c>
    </row>
    <row r="5" spans="1:20" ht="14.25">
      <c r="A5" s="1" t="s">
        <v>13</v>
      </c>
      <c r="B5" s="1" t="s">
        <v>6</v>
      </c>
      <c r="C5" s="1">
        <f t="shared" si="0"/>
        <v>1</v>
      </c>
      <c r="D5" s="1">
        <v>2</v>
      </c>
      <c r="E5">
        <v>83.053726315789405</v>
      </c>
      <c r="F5">
        <v>0.82</v>
      </c>
      <c r="G5">
        <v>9.3827943661971798</v>
      </c>
      <c r="I5">
        <v>93.516226456178501</v>
      </c>
      <c r="J5">
        <v>28.839417391304298</v>
      </c>
      <c r="K5" s="18" t="s">
        <v>354</v>
      </c>
      <c r="L5">
        <v>-1.3341817</v>
      </c>
      <c r="M5">
        <v>-1.2115357</v>
      </c>
      <c r="N5">
        <v>0.76274705264793896</v>
      </c>
      <c r="O5">
        <v>0.27874946989386701</v>
      </c>
      <c r="P5" s="19">
        <v>5.7629999999999999</v>
      </c>
      <c r="Q5">
        <v>-3.2</v>
      </c>
      <c r="R5" s="2">
        <v>2.7</v>
      </c>
      <c r="S5" s="2">
        <v>2.0030000000000001</v>
      </c>
      <c r="T5" s="1" t="s">
        <v>14</v>
      </c>
    </row>
    <row r="6" spans="1:20" ht="14.25">
      <c r="A6" s="1" t="s">
        <v>15</v>
      </c>
      <c r="B6" s="1" t="s">
        <v>6</v>
      </c>
      <c r="C6" s="1">
        <f t="shared" si="0"/>
        <v>1</v>
      </c>
      <c r="D6" s="1">
        <v>2</v>
      </c>
      <c r="E6">
        <v>83.203873684210507</v>
      </c>
      <c r="F6">
        <v>0.82</v>
      </c>
      <c r="G6">
        <v>9.4257566345441095</v>
      </c>
      <c r="I6">
        <v>93.598793753365598</v>
      </c>
      <c r="J6">
        <v>29.758165217391301</v>
      </c>
      <c r="K6" s="18" t="s">
        <v>354</v>
      </c>
      <c r="L6">
        <v>-1.3064979999999999</v>
      </c>
      <c r="M6">
        <v>-1.1743064000000001</v>
      </c>
      <c r="N6">
        <v>0.77041055421662896</v>
      </c>
      <c r="O6">
        <v>0.41836611708870802</v>
      </c>
      <c r="P6" s="19">
        <v>6.2460000000000004</v>
      </c>
      <c r="Q6">
        <v>-2.2999999999999998</v>
      </c>
      <c r="R6" s="2">
        <v>2.7679999999999998</v>
      </c>
      <c r="S6" s="2">
        <v>1.24</v>
      </c>
      <c r="T6" s="1" t="s">
        <v>16</v>
      </c>
    </row>
    <row r="7" spans="1:20" ht="14.25">
      <c r="A7" s="1" t="s">
        <v>17</v>
      </c>
      <c r="B7" s="1" t="s">
        <v>6</v>
      </c>
      <c r="C7" s="1">
        <f t="shared" si="0"/>
        <v>1</v>
      </c>
      <c r="D7" s="1">
        <v>2</v>
      </c>
      <c r="E7">
        <v>83.052238596491193</v>
      </c>
      <c r="F7">
        <v>0.82399999999999995</v>
      </c>
      <c r="G7">
        <v>9.3089363479120308</v>
      </c>
      <c r="I7">
        <v>93.569409994626497</v>
      </c>
      <c r="J7">
        <v>28.752356521739099</v>
      </c>
      <c r="K7" s="18" t="s">
        <v>354</v>
      </c>
      <c r="L7">
        <v>-1.3427473000000001</v>
      </c>
      <c r="M7">
        <v>-1.2167444999999999</v>
      </c>
      <c r="N7">
        <v>0.77146296863039199</v>
      </c>
      <c r="O7">
        <v>0.43925711930903499</v>
      </c>
      <c r="P7" s="19">
        <v>6.1630000000000003</v>
      </c>
      <c r="Q7">
        <v>-2.2999999999999998</v>
      </c>
      <c r="R7" s="2">
        <v>3.67</v>
      </c>
      <c r="S7" s="2">
        <v>2.5209999999999999</v>
      </c>
      <c r="T7" s="1" t="s">
        <v>18</v>
      </c>
    </row>
    <row r="8" spans="1:20" ht="14.25">
      <c r="A8" s="1" t="s">
        <v>19</v>
      </c>
      <c r="B8" s="1" t="s">
        <v>6</v>
      </c>
      <c r="C8" s="1">
        <f t="shared" si="0"/>
        <v>1</v>
      </c>
      <c r="D8" s="1">
        <v>1</v>
      </c>
      <c r="E8">
        <v>83.015887719298206</v>
      </c>
      <c r="F8">
        <v>0.82</v>
      </c>
      <c r="G8">
        <v>9.4098016802569795</v>
      </c>
      <c r="I8">
        <v>93.494014076881399</v>
      </c>
      <c r="J8">
        <v>28.8048434782608</v>
      </c>
      <c r="K8" s="18" t="s">
        <v>354</v>
      </c>
      <c r="L8">
        <v>-1.2873368000000001</v>
      </c>
      <c r="M8">
        <v>-1.1510586</v>
      </c>
      <c r="N8">
        <v>0.76910775392153197</v>
      </c>
      <c r="O8">
        <v>0.39291231385259101</v>
      </c>
      <c r="P8" s="19">
        <v>6.4820000000000002</v>
      </c>
      <c r="Q8">
        <v>-1.8</v>
      </c>
      <c r="R8" s="2">
        <v>1.444</v>
      </c>
      <c r="S8" s="2">
        <v>0.36799999999999999</v>
      </c>
      <c r="T8" s="1" t="s">
        <v>20</v>
      </c>
    </row>
    <row r="9" spans="1:20" s="11" customFormat="1" ht="14.25">
      <c r="A9" s="11" t="s">
        <v>21</v>
      </c>
      <c r="B9" s="11" t="s">
        <v>22</v>
      </c>
      <c r="C9" s="11">
        <f t="shared" si="0"/>
        <v>0</v>
      </c>
      <c r="D9" s="11">
        <v>0</v>
      </c>
      <c r="E9" s="11">
        <v>82.635887719298196</v>
      </c>
      <c r="F9" s="11">
        <v>0.81599999999999995</v>
      </c>
      <c r="G9" s="11">
        <v>9.2989613046701205</v>
      </c>
      <c r="H9" s="11">
        <v>92.449871074380098</v>
      </c>
      <c r="I9" s="11">
        <v>35.806911475409798</v>
      </c>
      <c r="K9" s="16" t="s">
        <v>342</v>
      </c>
      <c r="L9" s="11">
        <v>-1.3727478</v>
      </c>
      <c r="M9" s="11">
        <v>-1.1432735000000001</v>
      </c>
      <c r="N9" s="11">
        <v>0.76658091699938402</v>
      </c>
      <c r="O9" s="11">
        <v>0.34526747843128303</v>
      </c>
      <c r="P9" s="11">
        <v>7.4379999999999997</v>
      </c>
      <c r="Q9" s="11">
        <v>-0.9</v>
      </c>
      <c r="R9" s="12" t="s">
        <v>7</v>
      </c>
      <c r="S9" s="12" t="s">
        <v>7</v>
      </c>
      <c r="T9" s="11" t="s">
        <v>23</v>
      </c>
    </row>
    <row r="10" spans="1:20" ht="14.25">
      <c r="A10" s="1" t="s">
        <v>24</v>
      </c>
      <c r="B10" s="1" t="s">
        <v>22</v>
      </c>
      <c r="C10" s="1">
        <f t="shared" si="0"/>
        <v>0</v>
      </c>
      <c r="D10" s="1">
        <v>0</v>
      </c>
      <c r="E10">
        <v>83.355936842105194</v>
      </c>
      <c r="F10">
        <v>0.81599999999999995</v>
      </c>
      <c r="G10">
        <v>9.26612458611317</v>
      </c>
      <c r="H10">
        <v>92.742048834628207</v>
      </c>
      <c r="I10">
        <v>38.479291803278599</v>
      </c>
      <c r="K10" s="18" t="s">
        <v>342</v>
      </c>
      <c r="L10">
        <v>-1.4985535000000001</v>
      </c>
      <c r="M10">
        <v>-1.2845347</v>
      </c>
      <c r="N10">
        <v>0.76978345069013898</v>
      </c>
      <c r="O10">
        <v>0.406050665733655</v>
      </c>
      <c r="P10" s="19">
        <v>5.423</v>
      </c>
      <c r="Q10">
        <v>-4.9000000000000004</v>
      </c>
      <c r="R10" s="4">
        <v>1.522</v>
      </c>
      <c r="S10" s="4">
        <v>0.13300000000000001</v>
      </c>
      <c r="T10" s="1" t="s">
        <v>25</v>
      </c>
    </row>
    <row r="11" spans="1:20" ht="14.25">
      <c r="A11" s="1" t="s">
        <v>26</v>
      </c>
      <c r="B11" s="1" t="s">
        <v>22</v>
      </c>
      <c r="C11" s="1">
        <f t="shared" si="0"/>
        <v>0</v>
      </c>
      <c r="D11" s="1">
        <v>0</v>
      </c>
      <c r="E11">
        <v>83.484084210526305</v>
      </c>
      <c r="F11">
        <v>0.81799999999999995</v>
      </c>
      <c r="G11">
        <v>9.0443835927847793</v>
      </c>
      <c r="H11">
        <v>92.978941241076299</v>
      </c>
      <c r="I11">
        <v>38.145580327868799</v>
      </c>
      <c r="K11" s="18" t="s">
        <v>342</v>
      </c>
      <c r="L11">
        <v>-1.5070403999999999</v>
      </c>
      <c r="M11">
        <v>-1.2950876</v>
      </c>
      <c r="N11">
        <v>0.77260566637545802</v>
      </c>
      <c r="O11">
        <v>0.46218419380136899</v>
      </c>
      <c r="P11" s="19">
        <v>5.8129999999999997</v>
      </c>
      <c r="Q11">
        <v>-2.9</v>
      </c>
      <c r="R11" s="4">
        <v>1.7</v>
      </c>
      <c r="S11" s="4">
        <v>0.253</v>
      </c>
      <c r="T11" s="1" t="s">
        <v>27</v>
      </c>
    </row>
    <row r="12" spans="1:20" ht="14.25">
      <c r="A12" s="1" t="s">
        <v>28</v>
      </c>
      <c r="B12" s="1" t="s">
        <v>22</v>
      </c>
      <c r="C12" s="1">
        <f t="shared" si="0"/>
        <v>0</v>
      </c>
      <c r="D12" s="1">
        <v>0</v>
      </c>
      <c r="E12">
        <v>83.563375438596495</v>
      </c>
      <c r="F12">
        <v>0.81799999999999995</v>
      </c>
      <c r="G12">
        <v>8.9980893007165808</v>
      </c>
      <c r="H12">
        <v>93.1403626373626</v>
      </c>
      <c r="I12">
        <v>37.505101639344197</v>
      </c>
      <c r="K12" s="18" t="s">
        <v>342</v>
      </c>
      <c r="L12">
        <v>-1.5018043999999999</v>
      </c>
      <c r="M12">
        <v>-1.2883346</v>
      </c>
      <c r="N12">
        <v>0.77500849034582797</v>
      </c>
      <c r="O12">
        <v>0.51080224669002905</v>
      </c>
      <c r="P12" s="19">
        <v>5.1429999999999998</v>
      </c>
      <c r="Q12">
        <v>-6.9</v>
      </c>
      <c r="R12" s="4">
        <v>1.472</v>
      </c>
      <c r="S12" s="4">
        <v>0.32700000000000001</v>
      </c>
      <c r="T12" s="1" t="s">
        <v>29</v>
      </c>
    </row>
    <row r="13" spans="1:20" ht="14.25">
      <c r="A13" s="1" t="s">
        <v>30</v>
      </c>
      <c r="B13" s="1" t="s">
        <v>22</v>
      </c>
      <c r="C13" s="1">
        <f t="shared" si="0"/>
        <v>1</v>
      </c>
      <c r="D13" s="1">
        <v>2</v>
      </c>
      <c r="E13">
        <v>83.334252631578906</v>
      </c>
      <c r="F13">
        <v>0.81799999999999995</v>
      </c>
      <c r="G13">
        <v>9.0865943661971809</v>
      </c>
      <c r="H13">
        <v>92.921933738266105</v>
      </c>
      <c r="I13">
        <v>37.2700131147541</v>
      </c>
      <c r="K13" s="18" t="s">
        <v>342</v>
      </c>
      <c r="L13">
        <v>-1.4539008</v>
      </c>
      <c r="M13">
        <v>-1.2360476</v>
      </c>
      <c r="N13">
        <v>0.774915379480968</v>
      </c>
      <c r="O13">
        <v>0.50891613511602196</v>
      </c>
      <c r="P13" s="19">
        <v>5.391</v>
      </c>
      <c r="Q13">
        <v>-4.9000000000000004</v>
      </c>
      <c r="R13" s="4">
        <v>2.323</v>
      </c>
      <c r="S13" s="4">
        <v>0.43</v>
      </c>
      <c r="T13" s="1" t="s">
        <v>31</v>
      </c>
    </row>
    <row r="14" spans="1:20" s="11" customFormat="1" ht="14.25">
      <c r="A14" s="11" t="s">
        <v>32</v>
      </c>
      <c r="B14" s="11" t="s">
        <v>33</v>
      </c>
      <c r="C14" s="11">
        <f t="shared" si="0"/>
        <v>0</v>
      </c>
      <c r="D14" s="11">
        <v>0</v>
      </c>
      <c r="E14" s="11">
        <v>94.922432651999998</v>
      </c>
      <c r="F14" s="11">
        <v>0.90400000000000003</v>
      </c>
      <c r="G14" s="11">
        <v>4.1973191702000001</v>
      </c>
      <c r="H14" s="11">
        <v>95.928351481999997</v>
      </c>
      <c r="K14" s="16" t="s">
        <v>342</v>
      </c>
      <c r="L14" s="11">
        <v>-1.1092256</v>
      </c>
      <c r="M14" s="11">
        <v>-1.1092256</v>
      </c>
      <c r="N14" s="11">
        <v>0.76515156926143102</v>
      </c>
      <c r="O14" s="11">
        <v>0.319565874094626</v>
      </c>
      <c r="P14" s="11">
        <v>6.6710000000000003</v>
      </c>
      <c r="Q14" s="11">
        <v>-0.9</v>
      </c>
      <c r="R14" s="12" t="s">
        <v>7</v>
      </c>
      <c r="S14" s="12" t="s">
        <v>7</v>
      </c>
      <c r="T14" s="11" t="s">
        <v>34</v>
      </c>
    </row>
    <row r="15" spans="1:20" ht="14.25">
      <c r="A15" s="1" t="s">
        <v>35</v>
      </c>
      <c r="B15" s="1" t="s">
        <v>33</v>
      </c>
      <c r="C15" s="1">
        <f t="shared" si="0"/>
        <v>0</v>
      </c>
      <c r="D15" s="1">
        <v>0</v>
      </c>
      <c r="E15">
        <v>95.274416328000001</v>
      </c>
      <c r="F15">
        <v>0.90600000000000003</v>
      </c>
      <c r="G15">
        <v>3.897062128</v>
      </c>
      <c r="H15">
        <v>96.133564648000004</v>
      </c>
      <c r="K15" s="18" t="s">
        <v>342</v>
      </c>
      <c r="L15">
        <v>-1.3578193999999999</v>
      </c>
      <c r="M15">
        <v>-1.3578193999999999</v>
      </c>
      <c r="N15">
        <v>0.76676970353511498</v>
      </c>
      <c r="O15">
        <v>0.34873491144492502</v>
      </c>
      <c r="P15" s="19">
        <v>5.0709999999999997</v>
      </c>
      <c r="Q15">
        <v>-3.8</v>
      </c>
      <c r="R15" s="4">
        <v>1.288</v>
      </c>
      <c r="S15" s="4">
        <v>0.28299999999999997</v>
      </c>
      <c r="T15" s="1" t="s">
        <v>36</v>
      </c>
    </row>
    <row r="16" spans="1:20" ht="14.25">
      <c r="A16" s="1" t="s">
        <v>37</v>
      </c>
      <c r="B16" s="1" t="s">
        <v>33</v>
      </c>
      <c r="C16" s="1">
        <f t="shared" si="0"/>
        <v>1</v>
      </c>
      <c r="D16" s="1">
        <v>2</v>
      </c>
      <c r="E16">
        <v>95.281828574000002</v>
      </c>
      <c r="F16">
        <v>0.91200000000000003</v>
      </c>
      <c r="G16">
        <v>4.0153092672000001</v>
      </c>
      <c r="H16">
        <v>96.290378665999995</v>
      </c>
      <c r="K16" s="18" t="s">
        <v>342</v>
      </c>
      <c r="L16">
        <v>-1.2908876</v>
      </c>
      <c r="M16">
        <v>-1.2908876</v>
      </c>
      <c r="N16">
        <v>0.77248440621174996</v>
      </c>
      <c r="O16">
        <v>0.45974189762241802</v>
      </c>
      <c r="P16" s="19">
        <v>5.9980000000000002</v>
      </c>
      <c r="Q16">
        <v>-2</v>
      </c>
      <c r="R16" s="4">
        <v>1.8680000000000001</v>
      </c>
      <c r="S16" s="4">
        <v>0.60399999999999998</v>
      </c>
      <c r="T16" s="1" t="s">
        <v>38</v>
      </c>
    </row>
    <row r="17" spans="1:20" ht="14.25">
      <c r="A17" s="1" t="s">
        <v>39</v>
      </c>
      <c r="B17" s="1" t="s">
        <v>33</v>
      </c>
      <c r="C17" s="1">
        <f t="shared" si="0"/>
        <v>1</v>
      </c>
      <c r="D17" s="1">
        <v>1</v>
      </c>
      <c r="E17">
        <v>95.144408163999998</v>
      </c>
      <c r="F17">
        <v>0.90199999999999902</v>
      </c>
      <c r="G17">
        <v>3.9154559386000001</v>
      </c>
      <c r="H17">
        <v>95.971784516</v>
      </c>
      <c r="K17" s="18" t="s">
        <v>342</v>
      </c>
      <c r="L17">
        <v>-1.3593588000000001</v>
      </c>
      <c r="M17">
        <v>-1.3593588000000001</v>
      </c>
      <c r="N17">
        <v>0.76846805617523695</v>
      </c>
      <c r="O17">
        <v>0.38061481823388199</v>
      </c>
      <c r="P17" s="19">
        <v>5.0739999999999998</v>
      </c>
      <c r="Q17">
        <v>-3.8</v>
      </c>
      <c r="R17" s="4">
        <v>1.462</v>
      </c>
      <c r="S17" s="4">
        <v>0.42199999999999999</v>
      </c>
      <c r="T17" s="1" t="s">
        <v>40</v>
      </c>
    </row>
    <row r="18" spans="1:20" ht="14.25">
      <c r="A18" s="1" t="s">
        <v>41</v>
      </c>
      <c r="B18" s="1" t="s">
        <v>33</v>
      </c>
      <c r="C18" s="1">
        <f t="shared" si="0"/>
        <v>0</v>
      </c>
      <c r="D18" s="1">
        <v>0</v>
      </c>
      <c r="E18">
        <v>95.415755103999999</v>
      </c>
      <c r="F18">
        <v>0.90999999999999903</v>
      </c>
      <c r="G18">
        <v>3.8750599199999902</v>
      </c>
      <c r="H18">
        <v>96.310606125999996</v>
      </c>
      <c r="K18" s="18" t="s">
        <v>342</v>
      </c>
      <c r="L18">
        <v>-1.3186243</v>
      </c>
      <c r="M18">
        <v>-1.3186243</v>
      </c>
      <c r="N18">
        <v>0.77126691411562898</v>
      </c>
      <c r="O18">
        <v>0.43534666077182499</v>
      </c>
      <c r="P18" s="19">
        <v>4.859</v>
      </c>
      <c r="Q18">
        <v>-5.9</v>
      </c>
      <c r="R18" s="4">
        <v>1.0900000000000001</v>
      </c>
      <c r="S18" s="4">
        <v>0.127</v>
      </c>
      <c r="T18" s="1" t="s">
        <v>42</v>
      </c>
    </row>
    <row r="19" spans="1:20" ht="14.25">
      <c r="A19" s="1" t="s">
        <v>43</v>
      </c>
      <c r="B19" s="1" t="s">
        <v>33</v>
      </c>
      <c r="C19" s="1">
        <f t="shared" si="0"/>
        <v>1</v>
      </c>
      <c r="D19" s="1">
        <v>1</v>
      </c>
      <c r="E19">
        <v>95.37048163</v>
      </c>
      <c r="F19">
        <v>0.91200000000000003</v>
      </c>
      <c r="G19">
        <v>3.9643910671999998</v>
      </c>
      <c r="H19">
        <v>96.440273169999998</v>
      </c>
      <c r="K19" s="18" t="s">
        <v>342</v>
      </c>
      <c r="L19">
        <v>-1.3361194999999999</v>
      </c>
      <c r="M19">
        <v>-1.3361194999999999</v>
      </c>
      <c r="N19">
        <v>0.768137849821381</v>
      </c>
      <c r="O19">
        <v>0.37432530623319499</v>
      </c>
      <c r="P19" s="19">
        <v>5.2830000000000004</v>
      </c>
      <c r="Q19">
        <v>-2.9</v>
      </c>
      <c r="R19" s="4">
        <v>1.7749999999999999</v>
      </c>
      <c r="S19" s="4">
        <v>0.79400000000000004</v>
      </c>
      <c r="T19" s="1" t="s">
        <v>44</v>
      </c>
    </row>
    <row r="20" spans="1:20" ht="14.25">
      <c r="A20" s="1" t="s">
        <v>45</v>
      </c>
      <c r="B20" s="1" t="s">
        <v>33</v>
      </c>
      <c r="C20" s="1">
        <f t="shared" si="0"/>
        <v>1</v>
      </c>
      <c r="D20" s="1">
        <v>1</v>
      </c>
      <c r="E20">
        <v>95.439151019999997</v>
      </c>
      <c r="F20">
        <v>0.91200000000000003</v>
      </c>
      <c r="G20">
        <v>3.8988632652000001</v>
      </c>
      <c r="H20">
        <v>96.360603978</v>
      </c>
      <c r="K20" s="18" t="s">
        <v>342</v>
      </c>
      <c r="L20">
        <v>-1.2018028000000001</v>
      </c>
      <c r="M20">
        <v>-1.2018028000000001</v>
      </c>
      <c r="N20">
        <v>0.77292714592662803</v>
      </c>
      <c r="O20">
        <v>0.46866758161321498</v>
      </c>
      <c r="P20" s="19">
        <v>6.6609999999999996</v>
      </c>
      <c r="Q20">
        <v>-0.9</v>
      </c>
      <c r="R20" s="4">
        <v>1.4590000000000001</v>
      </c>
      <c r="S20" s="4">
        <v>0.41199999999999998</v>
      </c>
      <c r="T20" s="1" t="s">
        <v>46</v>
      </c>
    </row>
    <row r="21" spans="1:20" ht="14.25">
      <c r="A21" s="1" t="s">
        <v>47</v>
      </c>
      <c r="B21" s="1" t="s">
        <v>33</v>
      </c>
      <c r="C21" s="1" t="str">
        <f t="shared" si="0"/>
        <v/>
      </c>
      <c r="D21" s="1"/>
      <c r="P21" s="19">
        <v>7.9269999999999996</v>
      </c>
      <c r="Q21">
        <v>2.1</v>
      </c>
      <c r="R21" s="2" t="s">
        <v>7</v>
      </c>
      <c r="S21" s="2" t="s">
        <v>7</v>
      </c>
      <c r="T21" s="1" t="s">
        <v>48</v>
      </c>
    </row>
    <row r="22" spans="1:20" s="11" customFormat="1" ht="14.25">
      <c r="A22" s="11" t="s">
        <v>49</v>
      </c>
      <c r="B22" s="11" t="s">
        <v>50</v>
      </c>
      <c r="C22" s="11">
        <f t="shared" si="0"/>
        <v>0</v>
      </c>
      <c r="D22" s="11">
        <v>0</v>
      </c>
      <c r="E22" s="11">
        <v>88.175983870967698</v>
      </c>
      <c r="F22" s="11">
        <v>0.76600000000000001</v>
      </c>
      <c r="G22" s="11">
        <v>9.0382210395716296</v>
      </c>
      <c r="H22" s="11">
        <v>89.455414973261995</v>
      </c>
      <c r="K22" s="16" t="s">
        <v>342</v>
      </c>
      <c r="L22" s="11">
        <v>-1.2728094000000001</v>
      </c>
      <c r="M22" s="11">
        <v>-1.2728094000000001</v>
      </c>
      <c r="N22" s="11">
        <v>0.76424510300078596</v>
      </c>
      <c r="O22" s="11">
        <v>0.30380494264612301</v>
      </c>
      <c r="P22" s="11">
        <v>7.96</v>
      </c>
      <c r="Q22" s="11">
        <v>2.2000000000000002</v>
      </c>
      <c r="R22" s="12">
        <v>0.79</v>
      </c>
      <c r="S22" s="12">
        <v>7.0000000000000007E-2</v>
      </c>
      <c r="T22" s="11" t="s">
        <v>51</v>
      </c>
    </row>
    <row r="23" spans="1:20" ht="14.25">
      <c r="A23" s="1" t="s">
        <v>52</v>
      </c>
      <c r="B23" s="1" t="s">
        <v>50</v>
      </c>
      <c r="C23" s="1">
        <f t="shared" si="0"/>
        <v>1</v>
      </c>
      <c r="D23" s="1">
        <v>1</v>
      </c>
      <c r="E23">
        <v>90.505701612903195</v>
      </c>
      <c r="F23">
        <v>0.876</v>
      </c>
      <c r="G23">
        <v>5.8387637782421304</v>
      </c>
      <c r="H23">
        <v>91.670459587955605</v>
      </c>
      <c r="K23" s="18" t="s">
        <v>342</v>
      </c>
      <c r="L23">
        <v>-1.2860897</v>
      </c>
      <c r="M23">
        <v>-1.2860897</v>
      </c>
      <c r="N23">
        <v>0.77352064118163699</v>
      </c>
      <c r="O23">
        <v>0.48066302051503601</v>
      </c>
      <c r="P23" s="19">
        <v>7.8150000000000004</v>
      </c>
      <c r="Q23">
        <v>2.1</v>
      </c>
      <c r="R23" s="5">
        <v>3.9209999999999998</v>
      </c>
      <c r="S23" s="5">
        <v>3.4489999999999998</v>
      </c>
      <c r="T23" s="1" t="s">
        <v>53</v>
      </c>
    </row>
    <row r="24" spans="1:20" ht="14.25">
      <c r="A24" s="1" t="s">
        <v>54</v>
      </c>
      <c r="B24" s="1" t="s">
        <v>50</v>
      </c>
      <c r="C24" s="1">
        <f t="shared" si="0"/>
        <v>1</v>
      </c>
      <c r="D24" s="1">
        <v>2</v>
      </c>
      <c r="E24">
        <v>90.415572580645104</v>
      </c>
      <c r="F24">
        <v>0.85599999999999998</v>
      </c>
      <c r="G24">
        <v>6.4571684079926799</v>
      </c>
      <c r="H24">
        <v>91.572283574103807</v>
      </c>
      <c r="K24" s="18" t="s">
        <v>342</v>
      </c>
      <c r="L24">
        <v>-1.2709550999999999</v>
      </c>
      <c r="M24">
        <v>-1.2709550999999999</v>
      </c>
      <c r="N24">
        <v>0.77401489659721701</v>
      </c>
      <c r="O24">
        <v>0.490670305474943</v>
      </c>
      <c r="P24" s="19">
        <v>7.1589999999999998</v>
      </c>
      <c r="Q24">
        <v>0.1</v>
      </c>
      <c r="R24" s="5">
        <v>3.6549999999999998</v>
      </c>
      <c r="S24" s="5">
        <v>0.92600000000000005</v>
      </c>
      <c r="T24" s="1" t="s">
        <v>55</v>
      </c>
    </row>
    <row r="25" spans="1:20" ht="14.25">
      <c r="A25" s="1" t="s">
        <v>56</v>
      </c>
      <c r="B25" s="1" t="s">
        <v>50</v>
      </c>
      <c r="C25" s="1">
        <f t="shared" si="0"/>
        <v>1</v>
      </c>
      <c r="D25" s="1">
        <v>2</v>
      </c>
      <c r="E25">
        <v>90.183000000000007</v>
      </c>
      <c r="F25">
        <v>0.84799999999999998</v>
      </c>
      <c r="G25">
        <v>6.7529824343737701</v>
      </c>
      <c r="H25">
        <v>91.392601890756296</v>
      </c>
      <c r="K25" s="18" t="s">
        <v>342</v>
      </c>
      <c r="L25">
        <v>-1.2587809999999999</v>
      </c>
      <c r="M25">
        <v>-1.2587809999999999</v>
      </c>
      <c r="N25">
        <v>0.77630983213099602</v>
      </c>
      <c r="O25">
        <v>0.53710665191339901</v>
      </c>
      <c r="P25" s="19">
        <v>7.42</v>
      </c>
      <c r="Q25">
        <v>1</v>
      </c>
      <c r="R25" s="5">
        <v>4.218</v>
      </c>
      <c r="S25" s="5">
        <v>2.6659999999999999</v>
      </c>
      <c r="T25" s="1" t="s">
        <v>57</v>
      </c>
    </row>
    <row r="26" spans="1:20" ht="14.25">
      <c r="A26" s="1" t="s">
        <v>58</v>
      </c>
      <c r="B26" s="1" t="s">
        <v>50</v>
      </c>
      <c r="C26" s="1">
        <f t="shared" si="0"/>
        <v>1</v>
      </c>
      <c r="D26" s="1">
        <v>2</v>
      </c>
      <c r="E26">
        <v>90.162701612903206</v>
      </c>
      <c r="F26">
        <v>0.86199999999999899</v>
      </c>
      <c r="G26">
        <v>6.2829934373775602</v>
      </c>
      <c r="H26">
        <v>91.343739410187595</v>
      </c>
      <c r="K26" s="18" t="s">
        <v>342</v>
      </c>
      <c r="L26">
        <v>-1.2770843999999999</v>
      </c>
      <c r="M26">
        <v>-1.2770843999999999</v>
      </c>
      <c r="N26">
        <v>0.77164639266340695</v>
      </c>
      <c r="O26">
        <v>0.44292250455600601</v>
      </c>
      <c r="P26" s="19">
        <v>8.2379999999999995</v>
      </c>
      <c r="Q26">
        <v>3.1</v>
      </c>
      <c r="R26" s="5">
        <v>10.632999999999999</v>
      </c>
      <c r="S26" s="5">
        <v>7.6219999999999999</v>
      </c>
      <c r="T26" s="1" t="s">
        <v>59</v>
      </c>
    </row>
    <row r="27" spans="1:20" ht="14.25">
      <c r="A27" s="1" t="s">
        <v>60</v>
      </c>
      <c r="B27" s="1" t="s">
        <v>50</v>
      </c>
      <c r="C27" s="1">
        <f t="shared" si="0"/>
        <v>0</v>
      </c>
      <c r="D27" s="1">
        <v>0</v>
      </c>
      <c r="E27">
        <v>90.106766129032195</v>
      </c>
      <c r="F27">
        <v>0.86599999999999999</v>
      </c>
      <c r="G27">
        <v>6.0997586195637901</v>
      </c>
      <c r="H27">
        <v>91.2922888771744</v>
      </c>
      <c r="K27" s="18" t="s">
        <v>342</v>
      </c>
      <c r="L27">
        <v>-1.3026797999999999</v>
      </c>
      <c r="M27">
        <v>-1.3026797999999999</v>
      </c>
      <c r="N27">
        <v>0.774631967065738</v>
      </c>
      <c r="O27">
        <v>0.50317381977471798</v>
      </c>
      <c r="P27" s="19">
        <v>5.3380000000000001</v>
      </c>
      <c r="Q27">
        <v>-4.8</v>
      </c>
      <c r="R27" s="5">
        <v>0.85899999999999999</v>
      </c>
      <c r="S27" s="5">
        <v>0.19800000000000001</v>
      </c>
      <c r="T27" s="1" t="s">
        <v>61</v>
      </c>
    </row>
    <row r="28" spans="1:20" s="11" customFormat="1" ht="14.25">
      <c r="A28" s="11" t="s">
        <v>62</v>
      </c>
      <c r="B28" s="11" t="s">
        <v>63</v>
      </c>
      <c r="C28" s="11">
        <f t="shared" si="0"/>
        <v>0</v>
      </c>
      <c r="D28" s="11">
        <v>0</v>
      </c>
      <c r="E28" s="11">
        <v>90.329550200803197</v>
      </c>
      <c r="F28" s="11">
        <v>0.869999999999999</v>
      </c>
      <c r="G28" s="11">
        <v>6.0734449086669198</v>
      </c>
      <c r="H28" s="11">
        <v>91.441449076517102</v>
      </c>
      <c r="K28" s="16" t="s">
        <v>342</v>
      </c>
      <c r="L28" s="11">
        <v>-1.1756138</v>
      </c>
      <c r="M28" s="11">
        <v>-1.1756138</v>
      </c>
      <c r="N28" s="11">
        <v>0.76969009715468595</v>
      </c>
      <c r="O28" s="11">
        <v>0.40422699635215997</v>
      </c>
      <c r="P28" s="11">
        <v>4.9249999999999998</v>
      </c>
      <c r="Q28" s="11">
        <v>-5.9</v>
      </c>
      <c r="R28" s="12">
        <v>1.0529999999999999</v>
      </c>
      <c r="S28" s="12">
        <v>0.111</v>
      </c>
      <c r="T28" s="11" t="s">
        <v>64</v>
      </c>
    </row>
    <row r="29" spans="1:20" ht="14.25">
      <c r="A29" s="6" t="s">
        <v>65</v>
      </c>
      <c r="B29" s="6" t="s">
        <v>63</v>
      </c>
      <c r="C29" s="6">
        <f t="shared" si="0"/>
        <v>1</v>
      </c>
      <c r="D29" s="6">
        <v>1</v>
      </c>
      <c r="E29">
        <v>92.145839357429693</v>
      </c>
      <c r="F29">
        <v>0.88599999999999901</v>
      </c>
      <c r="G29">
        <v>5.3075312540484498</v>
      </c>
      <c r="H29">
        <v>93.281879978757303</v>
      </c>
      <c r="K29" s="18" t="s">
        <v>342</v>
      </c>
      <c r="L29">
        <v>-1.1549795</v>
      </c>
      <c r="M29">
        <v>-1.1549795</v>
      </c>
      <c r="N29">
        <v>0.77277519846318599</v>
      </c>
      <c r="O29">
        <v>0.46560175175764901</v>
      </c>
      <c r="P29" s="20">
        <v>5.4379999999999997</v>
      </c>
      <c r="Q29">
        <v>-3.9</v>
      </c>
      <c r="R29" s="5">
        <v>1.474</v>
      </c>
      <c r="S29" s="8">
        <v>7.4999999999999997E-2</v>
      </c>
      <c r="T29" s="6" t="s">
        <v>66</v>
      </c>
    </row>
    <row r="30" spans="1:20" ht="14.25">
      <c r="A30" s="6" t="s">
        <v>67</v>
      </c>
      <c r="B30" s="6" t="s">
        <v>63</v>
      </c>
      <c r="C30" s="6">
        <f t="shared" si="0"/>
        <v>1</v>
      </c>
      <c r="D30" s="6">
        <v>1</v>
      </c>
      <c r="E30">
        <v>91.788570281124393</v>
      </c>
      <c r="F30">
        <v>0.88400000000000001</v>
      </c>
      <c r="G30">
        <v>5.4903105972276203</v>
      </c>
      <c r="H30">
        <v>92.923568025410205</v>
      </c>
      <c r="K30" s="18" t="s">
        <v>342</v>
      </c>
      <c r="L30">
        <v>-1.0747614000000001</v>
      </c>
      <c r="M30">
        <v>-1.0747614000000001</v>
      </c>
      <c r="N30">
        <v>0.77398660505108796</v>
      </c>
      <c r="O30">
        <v>0.49009720285664798</v>
      </c>
      <c r="P30" s="20">
        <v>6.0060000000000002</v>
      </c>
      <c r="Q30">
        <v>-2</v>
      </c>
      <c r="R30" s="5">
        <v>1.4690000000000001</v>
      </c>
      <c r="S30" s="8">
        <v>0.26300000000000001</v>
      </c>
      <c r="T30" s="6" t="s">
        <v>68</v>
      </c>
    </row>
    <row r="31" spans="1:20" ht="14.25">
      <c r="A31" s="6" t="s">
        <v>69</v>
      </c>
      <c r="B31" s="6" t="s">
        <v>63</v>
      </c>
      <c r="C31" s="6">
        <f t="shared" si="0"/>
        <v>1</v>
      </c>
      <c r="D31" s="6">
        <v>1</v>
      </c>
      <c r="E31">
        <v>91.703702811244895</v>
      </c>
      <c r="F31">
        <v>0.88</v>
      </c>
      <c r="G31">
        <v>5.5011812734810199</v>
      </c>
      <c r="H31">
        <v>92.847654373024199</v>
      </c>
      <c r="K31" s="18" t="s">
        <v>342</v>
      </c>
      <c r="L31">
        <v>-1.1193839999999999</v>
      </c>
      <c r="M31">
        <v>-1.1193839999999999</v>
      </c>
      <c r="N31">
        <v>0.77540377175084696</v>
      </c>
      <c r="O31">
        <v>0.51880524322867105</v>
      </c>
      <c r="P31" s="20">
        <v>5.98</v>
      </c>
      <c r="Q31">
        <v>-2</v>
      </c>
      <c r="R31" s="5">
        <v>1.377</v>
      </c>
      <c r="S31" s="8">
        <v>8.6999999999999994E-2</v>
      </c>
      <c r="T31" s="6" t="s">
        <v>70</v>
      </c>
    </row>
    <row r="32" spans="1:20" ht="14.25">
      <c r="A32" s="6" t="s">
        <v>71</v>
      </c>
      <c r="B32" s="6" t="s">
        <v>63</v>
      </c>
      <c r="C32" s="6">
        <f t="shared" si="0"/>
        <v>0</v>
      </c>
      <c r="D32" s="6">
        <v>0</v>
      </c>
      <c r="E32">
        <v>91.633325301204806</v>
      </c>
      <c r="F32">
        <v>0.88</v>
      </c>
      <c r="G32">
        <v>5.4709852312475702</v>
      </c>
      <c r="H32">
        <v>92.704815915119298</v>
      </c>
      <c r="K32" s="18" t="s">
        <v>342</v>
      </c>
      <c r="L32">
        <v>-1.1820016</v>
      </c>
      <c r="M32">
        <v>-1.1820016</v>
      </c>
      <c r="N32">
        <v>0.77559435139103605</v>
      </c>
      <c r="O32">
        <v>0.52266058945336802</v>
      </c>
      <c r="P32" s="20">
        <v>5.5620000000000003</v>
      </c>
      <c r="Q32">
        <v>-3</v>
      </c>
      <c r="R32" s="5">
        <v>1.1870000000000001</v>
      </c>
      <c r="S32" s="8">
        <v>8.1000000000000003E-2</v>
      </c>
      <c r="T32" s="6" t="s">
        <v>72</v>
      </c>
    </row>
    <row r="33" spans="1:20" s="11" customFormat="1" ht="14.25">
      <c r="A33" s="11" t="s">
        <v>73</v>
      </c>
      <c r="B33" s="11" t="s">
        <v>74</v>
      </c>
      <c r="C33" s="11">
        <f t="shared" si="0"/>
        <v>0</v>
      </c>
      <c r="D33" s="11">
        <v>0</v>
      </c>
      <c r="E33" s="11">
        <v>88.536106122448899</v>
      </c>
      <c r="F33" s="11">
        <v>0.77600000000000002</v>
      </c>
      <c r="G33" s="11">
        <v>8.4804491134158493</v>
      </c>
      <c r="H33" s="11">
        <v>89.988045926735893</v>
      </c>
      <c r="K33" s="16" t="s">
        <v>342</v>
      </c>
      <c r="L33" s="11">
        <v>-1.1826931000000001</v>
      </c>
      <c r="M33" s="11">
        <v>-1.1826931000000001</v>
      </c>
      <c r="N33" s="11">
        <v>0.76724576377953502</v>
      </c>
      <c r="O33" s="11">
        <v>0.35754945450181302</v>
      </c>
      <c r="P33" s="11">
        <v>7.5590000000000002</v>
      </c>
      <c r="Q33" s="11">
        <v>1.1000000000000001</v>
      </c>
      <c r="R33" s="12">
        <v>1.143</v>
      </c>
      <c r="S33" s="12">
        <v>9.7000000000000003E-2</v>
      </c>
      <c r="T33" s="11" t="s">
        <v>75</v>
      </c>
    </row>
    <row r="34" spans="1:20" ht="14.25">
      <c r="A34" s="6" t="s">
        <v>76</v>
      </c>
      <c r="B34" s="6" t="s">
        <v>74</v>
      </c>
      <c r="C34" s="6">
        <f t="shared" si="0"/>
        <v>0</v>
      </c>
      <c r="D34" s="6">
        <v>0</v>
      </c>
      <c r="E34">
        <v>92.400416326530603</v>
      </c>
      <c r="F34">
        <v>0.88</v>
      </c>
      <c r="G34">
        <v>5.3314134493141498</v>
      </c>
      <c r="H34">
        <v>93.801306593406593</v>
      </c>
      <c r="K34" s="18" t="s">
        <v>342</v>
      </c>
      <c r="L34">
        <v>-1.1318923999999999</v>
      </c>
      <c r="M34">
        <v>-1.1318923999999999</v>
      </c>
      <c r="N34">
        <v>0.77540893354912199</v>
      </c>
      <c r="O34">
        <v>0.51890969583172197</v>
      </c>
      <c r="P34" s="20">
        <v>8.109</v>
      </c>
      <c r="Q34">
        <v>2.9</v>
      </c>
      <c r="R34" s="5">
        <v>1.538</v>
      </c>
      <c r="S34" s="8">
        <v>0.312</v>
      </c>
      <c r="T34" s="6" t="s">
        <v>77</v>
      </c>
    </row>
    <row r="35" spans="1:20" ht="14.25">
      <c r="A35" s="6" t="s">
        <v>78</v>
      </c>
      <c r="B35" s="6" t="s">
        <v>74</v>
      </c>
      <c r="C35" s="6">
        <f t="shared" si="0"/>
        <v>0</v>
      </c>
      <c r="D35" s="6">
        <v>0</v>
      </c>
      <c r="E35">
        <v>92.275779591836695</v>
      </c>
      <c r="F35">
        <v>0.874</v>
      </c>
      <c r="G35">
        <v>5.4287205419872802</v>
      </c>
      <c r="H35">
        <v>93.654101601325195</v>
      </c>
      <c r="K35" s="18" t="s">
        <v>342</v>
      </c>
      <c r="L35">
        <v>-1.1240467999999999</v>
      </c>
      <c r="M35">
        <v>-1.1240467999999999</v>
      </c>
      <c r="N35">
        <v>0.77331181263540305</v>
      </c>
      <c r="O35">
        <v>0.476439022099297</v>
      </c>
      <c r="P35" s="20">
        <v>6.7649999999999997</v>
      </c>
      <c r="Q35">
        <v>-1</v>
      </c>
      <c r="R35" s="5">
        <v>6.9989999999999997</v>
      </c>
      <c r="S35" s="8">
        <v>6.8639999999999999</v>
      </c>
      <c r="T35" s="6" t="s">
        <v>79</v>
      </c>
    </row>
    <row r="36" spans="1:20" ht="14.25">
      <c r="A36" s="6" t="s">
        <v>80</v>
      </c>
      <c r="B36" s="6" t="s">
        <v>74</v>
      </c>
      <c r="C36" s="6">
        <f t="shared" si="0"/>
        <v>1</v>
      </c>
      <c r="D36" s="6">
        <v>2</v>
      </c>
      <c r="E36">
        <v>92.085975510203994</v>
      </c>
      <c r="F36">
        <v>0.869999999999999</v>
      </c>
      <c r="G36">
        <v>5.5817785881565696</v>
      </c>
      <c r="H36">
        <v>93.451606177606095</v>
      </c>
      <c r="K36" s="18" t="s">
        <v>342</v>
      </c>
      <c r="L36">
        <v>-1.1293264999999999</v>
      </c>
      <c r="M36">
        <v>-1.1293264999999999</v>
      </c>
      <c r="N36">
        <v>0.77382428575789397</v>
      </c>
      <c r="O36">
        <v>0.486809645532705</v>
      </c>
      <c r="P36" s="20">
        <v>8.1950000000000003</v>
      </c>
      <c r="Q36">
        <v>3</v>
      </c>
      <c r="R36" s="5">
        <v>8.6319999999999997</v>
      </c>
      <c r="S36" s="8">
        <v>4.1849999999999996</v>
      </c>
      <c r="T36" s="6" t="s">
        <v>81</v>
      </c>
    </row>
    <row r="37" spans="1:20" ht="14.25">
      <c r="A37" s="6" t="s">
        <v>82</v>
      </c>
      <c r="B37" s="6" t="s">
        <v>74</v>
      </c>
      <c r="C37" s="6">
        <f t="shared" si="0"/>
        <v>0</v>
      </c>
      <c r="D37" s="6">
        <v>0</v>
      </c>
      <c r="E37">
        <v>91.886481632653002</v>
      </c>
      <c r="F37">
        <v>0.877999999999999</v>
      </c>
      <c r="G37">
        <v>5.4976768819002997</v>
      </c>
      <c r="H37">
        <v>93.201524644030599</v>
      </c>
      <c r="K37" s="18" t="s">
        <v>342</v>
      </c>
      <c r="L37">
        <v>-1.1344543</v>
      </c>
      <c r="M37">
        <v>-1.1344543</v>
      </c>
      <c r="N37">
        <v>0.77621216501357304</v>
      </c>
      <c r="O37">
        <v>0.53513780662847898</v>
      </c>
      <c r="P37" s="20">
        <v>7.782</v>
      </c>
      <c r="Q37">
        <v>1.9</v>
      </c>
      <c r="R37" s="5">
        <v>1.165</v>
      </c>
      <c r="S37" s="8">
        <v>0.121</v>
      </c>
      <c r="T37" s="6" t="s">
        <v>83</v>
      </c>
    </row>
    <row r="38" spans="1:20" ht="14.25">
      <c r="A38" s="6" t="s">
        <v>84</v>
      </c>
      <c r="B38" s="6" t="s">
        <v>74</v>
      </c>
      <c r="C38" s="6">
        <f t="shared" si="0"/>
        <v>1</v>
      </c>
      <c r="D38" s="6">
        <v>1</v>
      </c>
      <c r="E38">
        <v>91.835967346938702</v>
      </c>
      <c r="F38">
        <v>0.872</v>
      </c>
      <c r="G38">
        <v>5.6314323185011697</v>
      </c>
      <c r="H38">
        <v>93.267111233480094</v>
      </c>
      <c r="K38" s="18" t="s">
        <v>342</v>
      </c>
      <c r="L38">
        <v>-1.0898155</v>
      </c>
      <c r="M38">
        <v>-1.0898155</v>
      </c>
      <c r="N38">
        <v>0.77585717338347204</v>
      </c>
      <c r="O38">
        <v>0.52797284726432103</v>
      </c>
      <c r="P38" s="20">
        <v>8.3450000000000006</v>
      </c>
      <c r="Q38">
        <v>3.9</v>
      </c>
      <c r="R38" s="5">
        <v>12.707000000000001</v>
      </c>
      <c r="S38" s="8">
        <v>7.5030000000000001</v>
      </c>
      <c r="T38" s="6" t="s">
        <v>85</v>
      </c>
    </row>
    <row r="39" spans="1:20" s="11" customFormat="1" ht="14.25">
      <c r="A39" s="11" t="s">
        <v>86</v>
      </c>
      <c r="B39" s="11" t="s">
        <v>87</v>
      </c>
      <c r="C39" s="11">
        <f t="shared" si="0"/>
        <v>0</v>
      </c>
      <c r="D39" s="11">
        <v>0</v>
      </c>
      <c r="E39" s="11">
        <v>90.845975903614402</v>
      </c>
      <c r="F39" s="11">
        <v>0.872</v>
      </c>
      <c r="G39" s="11">
        <v>5.91594322451094</v>
      </c>
      <c r="H39" s="11">
        <v>91.980920718815995</v>
      </c>
      <c r="K39" s="16" t="s">
        <v>342</v>
      </c>
      <c r="L39" s="11">
        <v>-1.1774514</v>
      </c>
      <c r="M39" s="11">
        <v>-1.1774514</v>
      </c>
      <c r="N39" s="11">
        <v>0.76712704535823895</v>
      </c>
      <c r="O39" s="11">
        <v>0.35534199838804398</v>
      </c>
      <c r="P39" s="11">
        <v>6.2119999999999997</v>
      </c>
      <c r="Q39" s="11">
        <v>-1.8</v>
      </c>
      <c r="R39" s="12">
        <v>1.157</v>
      </c>
      <c r="S39" s="12">
        <v>8.1000000000000003E-2</v>
      </c>
      <c r="T39" s="11" t="s">
        <v>88</v>
      </c>
    </row>
    <row r="40" spans="1:20" ht="14.25">
      <c r="A40" s="6" t="s">
        <v>89</v>
      </c>
      <c r="B40" s="6" t="s">
        <v>87</v>
      </c>
      <c r="C40" s="6">
        <f t="shared" si="0"/>
        <v>0</v>
      </c>
      <c r="D40" s="6">
        <v>0</v>
      </c>
      <c r="E40">
        <v>91.833469879518006</v>
      </c>
      <c r="F40">
        <v>0.88400000000000001</v>
      </c>
      <c r="G40">
        <v>5.4511709742194503</v>
      </c>
      <c r="H40">
        <v>92.986891934633604</v>
      </c>
      <c r="K40" s="18" t="s">
        <v>342</v>
      </c>
      <c r="L40">
        <v>-1.2153664</v>
      </c>
      <c r="M40">
        <v>-1.2153664</v>
      </c>
      <c r="N40">
        <v>0.77067745902116302</v>
      </c>
      <c r="O40">
        <v>0.42363974815727801</v>
      </c>
      <c r="P40" s="20">
        <v>8.7070000000000007</v>
      </c>
      <c r="Q40">
        <v>6</v>
      </c>
      <c r="R40" s="5">
        <v>1.1299999999999999</v>
      </c>
      <c r="S40" s="8">
        <v>0.122</v>
      </c>
      <c r="T40" s="6" t="s">
        <v>90</v>
      </c>
    </row>
    <row r="41" spans="1:20" ht="14.25">
      <c r="A41" s="6" t="s">
        <v>91</v>
      </c>
      <c r="B41" s="6" t="s">
        <v>87</v>
      </c>
      <c r="C41" s="6">
        <f t="shared" si="0"/>
        <v>0</v>
      </c>
      <c r="D41" s="6">
        <v>0</v>
      </c>
      <c r="E41">
        <v>91.763566265060206</v>
      </c>
      <c r="F41">
        <v>0.88599999999999901</v>
      </c>
      <c r="G41">
        <v>5.4987097745822</v>
      </c>
      <c r="H41">
        <v>92.919945974576194</v>
      </c>
      <c r="K41" s="18" t="s">
        <v>342</v>
      </c>
      <c r="L41">
        <v>-1.1545122999999999</v>
      </c>
      <c r="M41">
        <v>-1.1545122999999999</v>
      </c>
      <c r="N41">
        <v>0.77367668910030296</v>
      </c>
      <c r="O41">
        <v>0.48382125815737997</v>
      </c>
      <c r="P41" s="20">
        <v>7.66</v>
      </c>
      <c r="Q41">
        <v>0</v>
      </c>
      <c r="R41" s="5">
        <v>0.99099999999999999</v>
      </c>
      <c r="S41" s="8">
        <v>0.70199999999999996</v>
      </c>
      <c r="T41" s="6" t="s">
        <v>92</v>
      </c>
    </row>
    <row r="42" spans="1:20" ht="14.25">
      <c r="A42" s="6" t="s">
        <v>93</v>
      </c>
      <c r="B42" s="6" t="s">
        <v>87</v>
      </c>
      <c r="C42" s="6">
        <f t="shared" si="0"/>
        <v>0</v>
      </c>
      <c r="D42" s="6">
        <v>0</v>
      </c>
      <c r="E42">
        <v>91.751823293172606</v>
      </c>
      <c r="F42">
        <v>0.88200000000000001</v>
      </c>
      <c r="G42">
        <v>5.4688732672625902</v>
      </c>
      <c r="H42">
        <v>92.908308505018397</v>
      </c>
      <c r="K42" s="18" t="s">
        <v>342</v>
      </c>
      <c r="L42">
        <v>-1.2012678000000001</v>
      </c>
      <c r="M42">
        <v>-1.2012678000000001</v>
      </c>
      <c r="N42">
        <v>0.77051702309239301</v>
      </c>
      <c r="O42">
        <v>0.42046761357147</v>
      </c>
      <c r="P42" s="20">
        <v>8.7910000000000004</v>
      </c>
      <c r="Q42">
        <v>3</v>
      </c>
      <c r="R42" s="5">
        <v>1.0569999999999999</v>
      </c>
      <c r="S42" s="8">
        <v>0.107</v>
      </c>
      <c r="T42" s="6" t="s">
        <v>94</v>
      </c>
    </row>
    <row r="43" spans="1:20" ht="14.25">
      <c r="A43" s="6" t="s">
        <v>95</v>
      </c>
      <c r="B43" s="6" t="s">
        <v>87</v>
      </c>
      <c r="C43" s="6">
        <f t="shared" si="0"/>
        <v>0</v>
      </c>
      <c r="D43" s="6">
        <v>0</v>
      </c>
      <c r="E43">
        <v>91.647815261044101</v>
      </c>
      <c r="F43">
        <v>0.88400000000000001</v>
      </c>
      <c r="G43">
        <v>5.5204747700479304</v>
      </c>
      <c r="H43">
        <v>92.725739361702097</v>
      </c>
      <c r="K43" s="18" t="s">
        <v>342</v>
      </c>
      <c r="L43">
        <v>-1.1777884000000001</v>
      </c>
      <c r="M43">
        <v>-1.1777884000000001</v>
      </c>
      <c r="N43">
        <v>0.76900215368217495</v>
      </c>
      <c r="O43">
        <v>0.390872418795986</v>
      </c>
      <c r="P43" s="20">
        <v>8.2520000000000007</v>
      </c>
      <c r="Q43">
        <v>0.1</v>
      </c>
      <c r="R43" s="5">
        <v>1.0229999999999999</v>
      </c>
      <c r="S43" s="8">
        <v>0.09</v>
      </c>
      <c r="T43" s="6" t="s">
        <v>96</v>
      </c>
    </row>
    <row r="44" spans="1:20" ht="14.25">
      <c r="A44" s="6" t="s">
        <v>97</v>
      </c>
      <c r="B44" s="6" t="s">
        <v>87</v>
      </c>
      <c r="C44" s="6">
        <f t="shared" si="0"/>
        <v>0</v>
      </c>
      <c r="D44" s="6">
        <v>0</v>
      </c>
      <c r="E44">
        <v>91.534939759036106</v>
      </c>
      <c r="F44">
        <v>0.88400000000000001</v>
      </c>
      <c r="G44">
        <v>5.5285521116724903</v>
      </c>
      <c r="H44">
        <v>92.6308159151193</v>
      </c>
      <c r="K44" s="18" t="s">
        <v>342</v>
      </c>
      <c r="L44">
        <v>-1.1366848000000001</v>
      </c>
      <c r="M44">
        <v>-1.1366848000000001</v>
      </c>
      <c r="N44">
        <v>0.77013022268501097</v>
      </c>
      <c r="O44">
        <v>0.41284723570759602</v>
      </c>
      <c r="P44" s="20">
        <v>6.25</v>
      </c>
      <c r="Q44">
        <v>-1.9</v>
      </c>
      <c r="R44" s="5">
        <v>1.07</v>
      </c>
      <c r="S44" s="8">
        <v>9.1999999999999998E-2</v>
      </c>
      <c r="T44" s="6" t="s">
        <v>98</v>
      </c>
    </row>
    <row r="45" spans="1:20" s="11" customFormat="1" ht="14.25">
      <c r="A45" s="11" t="s">
        <v>99</v>
      </c>
      <c r="B45" s="11" t="s">
        <v>100</v>
      </c>
      <c r="C45" s="11">
        <f t="shared" si="0"/>
        <v>0</v>
      </c>
      <c r="D45" s="11">
        <v>0</v>
      </c>
      <c r="E45" s="11">
        <v>88.897930501930503</v>
      </c>
      <c r="F45" s="11">
        <v>0.83</v>
      </c>
      <c r="G45" s="11">
        <v>7.6867059351710498</v>
      </c>
      <c r="H45" s="11">
        <v>89.809982802225505</v>
      </c>
      <c r="K45" s="16" t="s">
        <v>342</v>
      </c>
      <c r="L45" s="11">
        <v>-1.2438293</v>
      </c>
      <c r="M45" s="11">
        <v>-1.2438293</v>
      </c>
      <c r="N45" s="11">
        <v>0.77106911666376499</v>
      </c>
      <c r="O45" s="11">
        <v>0.43140957402494901</v>
      </c>
      <c r="P45" s="11">
        <v>5.31</v>
      </c>
      <c r="Q45" s="11">
        <v>-3.9</v>
      </c>
      <c r="R45" s="12" t="s">
        <v>7</v>
      </c>
      <c r="S45" s="12" t="s">
        <v>7</v>
      </c>
      <c r="T45" s="11" t="s">
        <v>101</v>
      </c>
    </row>
    <row r="46" spans="1:20" ht="14.25">
      <c r="A46" s="6" t="s">
        <v>102</v>
      </c>
      <c r="B46" s="6" t="s">
        <v>100</v>
      </c>
      <c r="C46" s="6">
        <f t="shared" si="0"/>
        <v>0</v>
      </c>
      <c r="D46" s="6">
        <v>0</v>
      </c>
      <c r="E46">
        <v>90.609366795366697</v>
      </c>
      <c r="F46">
        <v>0.876</v>
      </c>
      <c r="G46">
        <v>6.0170723115141698</v>
      </c>
      <c r="H46">
        <v>91.421715151515102</v>
      </c>
      <c r="K46" s="18" t="s">
        <v>342</v>
      </c>
      <c r="L46">
        <v>-1.3271611999999999</v>
      </c>
      <c r="M46">
        <v>-1.3271611999999999</v>
      </c>
      <c r="N46">
        <v>0.775699788414556</v>
      </c>
      <c r="O46">
        <v>0.52479240614854406</v>
      </c>
      <c r="P46" s="20">
        <v>6.056</v>
      </c>
      <c r="Q46">
        <v>-2</v>
      </c>
      <c r="R46" s="8" t="s">
        <v>7</v>
      </c>
      <c r="S46" s="8" t="s">
        <v>7</v>
      </c>
      <c r="T46" s="6" t="s">
        <v>103</v>
      </c>
    </row>
    <row r="47" spans="1:20" ht="14.25">
      <c r="A47" s="6" t="s">
        <v>104</v>
      </c>
      <c r="B47" s="6" t="s">
        <v>100</v>
      </c>
      <c r="C47" s="6">
        <f t="shared" si="0"/>
        <v>0</v>
      </c>
      <c r="D47" s="6">
        <v>0</v>
      </c>
      <c r="E47">
        <v>90.514594594594499</v>
      </c>
      <c r="F47">
        <v>0.872</v>
      </c>
      <c r="G47">
        <v>6.1944820867379002</v>
      </c>
      <c r="H47">
        <v>91.395139253279496</v>
      </c>
      <c r="K47" s="18" t="s">
        <v>342</v>
      </c>
      <c r="L47">
        <v>-1.2550222</v>
      </c>
      <c r="M47">
        <v>-1.2550222</v>
      </c>
      <c r="N47">
        <v>0.776141243043456</v>
      </c>
      <c r="O47">
        <v>0.533707419437772</v>
      </c>
      <c r="P47" s="20">
        <v>5.5540000000000003</v>
      </c>
      <c r="Q47">
        <v>-3</v>
      </c>
      <c r="R47" s="8" t="s">
        <v>7</v>
      </c>
      <c r="S47" s="8" t="s">
        <v>7</v>
      </c>
      <c r="T47" s="6" t="s">
        <v>105</v>
      </c>
    </row>
    <row r="48" spans="1:20" ht="14.25">
      <c r="A48" s="6" t="s">
        <v>106</v>
      </c>
      <c r="B48" s="6" t="s">
        <v>100</v>
      </c>
      <c r="C48" s="6">
        <f t="shared" si="0"/>
        <v>0</v>
      </c>
      <c r="D48" s="6">
        <v>0</v>
      </c>
      <c r="E48">
        <v>90.487057915057903</v>
      </c>
      <c r="F48">
        <v>0.872</v>
      </c>
      <c r="G48">
        <v>6.2070929933255501</v>
      </c>
      <c r="H48">
        <v>91.361468545546003</v>
      </c>
      <c r="K48" s="18" t="s">
        <v>342</v>
      </c>
      <c r="L48">
        <v>-1.2429745999999999</v>
      </c>
      <c r="M48">
        <v>-1.2429745999999999</v>
      </c>
      <c r="N48">
        <v>0.77831571169374902</v>
      </c>
      <c r="O48">
        <v>0.57720078511103901</v>
      </c>
      <c r="P48" s="20">
        <v>5.0750000000000002</v>
      </c>
      <c r="Q48">
        <v>-6</v>
      </c>
      <c r="R48" s="8" t="s">
        <v>7</v>
      </c>
      <c r="S48" s="8" t="s">
        <v>7</v>
      </c>
      <c r="T48" s="6" t="s">
        <v>107</v>
      </c>
    </row>
    <row r="49" spans="1:20" ht="14.25">
      <c r="A49" s="6" t="s">
        <v>108</v>
      </c>
      <c r="B49" s="6" t="s">
        <v>100</v>
      </c>
      <c r="C49" s="6">
        <f t="shared" si="0"/>
        <v>0</v>
      </c>
      <c r="D49" s="6">
        <v>0</v>
      </c>
      <c r="E49">
        <v>90.349536679536598</v>
      </c>
      <c r="F49">
        <v>0.872</v>
      </c>
      <c r="G49">
        <v>6.2311491424979701</v>
      </c>
      <c r="H49">
        <v>91.2369093670886</v>
      </c>
      <c r="K49" s="18" t="s">
        <v>342</v>
      </c>
      <c r="L49">
        <v>-1.2597482</v>
      </c>
      <c r="M49">
        <v>-1.2597482</v>
      </c>
      <c r="N49">
        <v>0.77273426861462402</v>
      </c>
      <c r="O49">
        <v>0.46477634840139398</v>
      </c>
      <c r="P49" s="20">
        <v>5.0890000000000004</v>
      </c>
      <c r="Q49">
        <v>-4.9000000000000004</v>
      </c>
      <c r="R49" s="8" t="s">
        <v>7</v>
      </c>
      <c r="S49" s="8" t="s">
        <v>7</v>
      </c>
      <c r="T49" s="6" t="s">
        <v>109</v>
      </c>
    </row>
    <row r="50" spans="1:20" ht="14.25">
      <c r="A50" s="6" t="s">
        <v>110</v>
      </c>
      <c r="B50" s="6" t="s">
        <v>100</v>
      </c>
      <c r="C50" s="6">
        <f t="shared" si="0"/>
        <v>0</v>
      </c>
      <c r="D50" s="6">
        <v>0</v>
      </c>
      <c r="E50">
        <v>90.339915057914993</v>
      </c>
      <c r="F50">
        <v>0.86799999999999999</v>
      </c>
      <c r="G50">
        <v>6.3105871419592301</v>
      </c>
      <c r="H50">
        <v>91.197149622166194</v>
      </c>
      <c r="K50" s="18" t="s">
        <v>342</v>
      </c>
      <c r="L50">
        <v>-1.2620511000000001</v>
      </c>
      <c r="M50">
        <v>-1.2620511000000001</v>
      </c>
      <c r="N50">
        <v>0.77420177862526396</v>
      </c>
      <c r="O50">
        <v>0.49445652514837501</v>
      </c>
      <c r="P50" s="20">
        <v>5.5549999999999997</v>
      </c>
      <c r="Q50">
        <v>-3</v>
      </c>
      <c r="R50" s="8" t="s">
        <v>7</v>
      </c>
      <c r="S50" s="8" t="s">
        <v>7</v>
      </c>
      <c r="T50" s="6" t="s">
        <v>111</v>
      </c>
    </row>
    <row r="51" spans="1:20" s="11" customFormat="1" ht="14.25">
      <c r="A51" s="11" t="s">
        <v>112</v>
      </c>
      <c r="B51" s="11" t="s">
        <v>113</v>
      </c>
      <c r="C51" s="11">
        <f t="shared" si="0"/>
        <v>0</v>
      </c>
      <c r="D51" s="11">
        <v>0</v>
      </c>
      <c r="E51" s="11">
        <v>91.496089795918294</v>
      </c>
      <c r="F51" s="11">
        <v>0.86</v>
      </c>
      <c r="G51" s="11">
        <v>6.1082113750418197</v>
      </c>
      <c r="H51" s="11">
        <v>92.818825431034398</v>
      </c>
      <c r="K51" s="16" t="s">
        <v>342</v>
      </c>
      <c r="L51" s="11">
        <v>-1.2487170999999999</v>
      </c>
      <c r="M51" s="11">
        <v>-1.2487170999999999</v>
      </c>
      <c r="N51" s="11">
        <v>0.768041937028071</v>
      </c>
      <c r="O51" s="11">
        <v>0.37250625710812701</v>
      </c>
      <c r="P51" s="11">
        <v>6.3010000000000002</v>
      </c>
      <c r="Q51" s="11">
        <v>-1.9</v>
      </c>
      <c r="R51" s="12">
        <v>0.83799999999999997</v>
      </c>
      <c r="S51" s="12">
        <v>0.123</v>
      </c>
      <c r="T51" s="11" t="s">
        <v>114</v>
      </c>
    </row>
    <row r="52" spans="1:20" ht="14.25">
      <c r="A52" s="6" t="s">
        <v>115</v>
      </c>
      <c r="B52" s="6" t="s">
        <v>113</v>
      </c>
      <c r="C52" s="6">
        <f t="shared" si="0"/>
        <v>1</v>
      </c>
      <c r="D52" s="6">
        <v>1</v>
      </c>
      <c r="E52">
        <v>92.482473469387699</v>
      </c>
      <c r="F52">
        <v>0.88400000000000001</v>
      </c>
      <c r="G52">
        <v>5.2265413850786198</v>
      </c>
      <c r="H52">
        <v>93.858750949538802</v>
      </c>
      <c r="K52" s="18" t="s">
        <v>342</v>
      </c>
      <c r="L52">
        <v>-1.2304786000000001</v>
      </c>
      <c r="M52">
        <v>-1.2304786000000001</v>
      </c>
      <c r="N52">
        <v>0.77420686957712903</v>
      </c>
      <c r="O52">
        <v>0.49455967842305099</v>
      </c>
      <c r="P52" s="20">
        <v>5.2039999999999997</v>
      </c>
      <c r="Q52">
        <v>-4</v>
      </c>
      <c r="R52" s="5">
        <v>1.2829999999999999</v>
      </c>
      <c r="S52" s="8">
        <v>0.14299999999999999</v>
      </c>
      <c r="T52" s="6" t="s">
        <v>116</v>
      </c>
    </row>
    <row r="53" spans="1:20" ht="14.25">
      <c r="A53" s="6" t="s">
        <v>117</v>
      </c>
      <c r="B53" s="6" t="s">
        <v>113</v>
      </c>
      <c r="C53" s="6">
        <f t="shared" si="0"/>
        <v>1</v>
      </c>
      <c r="D53" s="6">
        <v>1</v>
      </c>
      <c r="E53">
        <v>92.334710204081603</v>
      </c>
      <c r="F53">
        <v>0.877999999999999</v>
      </c>
      <c r="G53">
        <v>5.4780187019069899</v>
      </c>
      <c r="H53">
        <v>93.675856677524393</v>
      </c>
      <c r="K53" s="18" t="s">
        <v>342</v>
      </c>
      <c r="L53">
        <v>-1.1621021</v>
      </c>
      <c r="M53">
        <v>-1.1621021</v>
      </c>
      <c r="N53">
        <v>0.77456069647120396</v>
      </c>
      <c r="O53">
        <v>0.50172959075935897</v>
      </c>
      <c r="P53" s="20">
        <v>5.1760000000000002</v>
      </c>
      <c r="Q53">
        <v>-4.9000000000000004</v>
      </c>
      <c r="R53" s="5">
        <v>1.383</v>
      </c>
      <c r="S53" s="8">
        <v>0.158</v>
      </c>
      <c r="T53" s="6" t="s">
        <v>118</v>
      </c>
    </row>
    <row r="54" spans="1:20" ht="14.25">
      <c r="A54" s="6" t="s">
        <v>119</v>
      </c>
      <c r="B54" s="6" t="s">
        <v>113</v>
      </c>
      <c r="C54" s="6">
        <f t="shared" si="0"/>
        <v>1</v>
      </c>
      <c r="D54" s="6">
        <v>1</v>
      </c>
      <c r="E54">
        <v>92.299599999999998</v>
      </c>
      <c r="F54">
        <v>0.88200000000000001</v>
      </c>
      <c r="G54">
        <v>5.3348106724657001</v>
      </c>
      <c r="H54">
        <v>93.609460043196506</v>
      </c>
      <c r="K54" s="18" t="s">
        <v>342</v>
      </c>
      <c r="L54">
        <v>-1.2490957</v>
      </c>
      <c r="M54">
        <v>-1.2490957</v>
      </c>
      <c r="N54">
        <v>0.77589659686419798</v>
      </c>
      <c r="O54">
        <v>0.52876917302623305</v>
      </c>
      <c r="P54" s="20">
        <v>5.5469999999999997</v>
      </c>
      <c r="Q54">
        <v>-3</v>
      </c>
      <c r="R54" s="5">
        <v>1.4159999999999999</v>
      </c>
      <c r="S54" s="8">
        <v>0.14799999999999999</v>
      </c>
      <c r="T54" s="6" t="s">
        <v>120</v>
      </c>
    </row>
    <row r="55" spans="1:20" ht="14.25">
      <c r="A55" s="6" t="s">
        <v>121</v>
      </c>
      <c r="B55" s="6" t="s">
        <v>113</v>
      </c>
      <c r="C55" s="6">
        <f t="shared" si="0"/>
        <v>0</v>
      </c>
      <c r="D55" s="6">
        <v>0</v>
      </c>
      <c r="E55">
        <v>92.262130612244803</v>
      </c>
      <c r="F55">
        <v>0.88</v>
      </c>
      <c r="G55">
        <v>5.38029263967882</v>
      </c>
      <c r="H55">
        <v>93.619831047723494</v>
      </c>
      <c r="K55" s="18" t="s">
        <v>342</v>
      </c>
      <c r="L55">
        <v>-1.2497202000000001</v>
      </c>
      <c r="M55">
        <v>-1.2497202000000001</v>
      </c>
      <c r="N55">
        <v>0.77075682087769604</v>
      </c>
      <c r="O55">
        <v>0.42521123536483002</v>
      </c>
      <c r="P55" s="20">
        <v>5.2320000000000002</v>
      </c>
      <c r="Q55">
        <v>-4.8</v>
      </c>
      <c r="R55" s="5">
        <v>1.1299999999999999</v>
      </c>
      <c r="S55" s="8">
        <v>0.1</v>
      </c>
      <c r="T55" s="6" t="s">
        <v>122</v>
      </c>
    </row>
    <row r="56" spans="1:20" ht="14.25">
      <c r="A56" s="6" t="s">
        <v>123</v>
      </c>
      <c r="B56" s="6" t="s">
        <v>113</v>
      </c>
      <c r="C56" s="6">
        <f t="shared" si="0"/>
        <v>0</v>
      </c>
      <c r="D56" s="6">
        <v>0</v>
      </c>
      <c r="E56">
        <v>92.2816571428571</v>
      </c>
      <c r="F56">
        <v>0.88200000000000001</v>
      </c>
      <c r="G56">
        <v>5.3211470056875196</v>
      </c>
      <c r="H56">
        <v>93.639238457360094</v>
      </c>
      <c r="K56" s="18" t="s">
        <v>342</v>
      </c>
      <c r="L56">
        <v>-1.1510861999999999</v>
      </c>
      <c r="M56">
        <v>-1.1510861999999999</v>
      </c>
      <c r="N56">
        <v>0.77603742337736803</v>
      </c>
      <c r="O56">
        <v>0.53161254286721005</v>
      </c>
      <c r="P56" s="20">
        <v>5.0529999999999999</v>
      </c>
      <c r="Q56">
        <v>-5</v>
      </c>
      <c r="R56" s="5">
        <v>1.1359999999999999</v>
      </c>
      <c r="S56" s="8">
        <v>0.12</v>
      </c>
      <c r="T56" s="6" t="s">
        <v>124</v>
      </c>
    </row>
    <row r="57" spans="1:20" s="11" customFormat="1" ht="14.25">
      <c r="A57" s="11" t="s">
        <v>125</v>
      </c>
      <c r="B57" s="11" t="s">
        <v>126</v>
      </c>
      <c r="C57" s="11">
        <f t="shared" si="0"/>
        <v>0</v>
      </c>
      <c r="D57" s="11">
        <v>0</v>
      </c>
      <c r="E57" s="11">
        <v>90.382300813008101</v>
      </c>
      <c r="F57" s="11">
        <v>0.86599999999999999</v>
      </c>
      <c r="G57" s="11">
        <v>6.0921967147834701</v>
      </c>
      <c r="H57" s="11">
        <v>91.452406434316302</v>
      </c>
      <c r="K57" s="16" t="s">
        <v>342</v>
      </c>
      <c r="L57" s="11">
        <v>-1.2022360000000001</v>
      </c>
      <c r="M57" s="11">
        <v>-1.2022360000000001</v>
      </c>
      <c r="N57" s="11">
        <v>0.76453288264994002</v>
      </c>
      <c r="O57" s="11">
        <v>0.30876120911610599</v>
      </c>
      <c r="P57" s="11">
        <v>8.67</v>
      </c>
      <c r="Q57" s="11">
        <v>1</v>
      </c>
      <c r="R57" s="12">
        <v>0.81499999999999995</v>
      </c>
      <c r="S57" s="12">
        <v>0.154</v>
      </c>
      <c r="T57" s="11" t="s">
        <v>127</v>
      </c>
    </row>
    <row r="58" spans="1:20" ht="14.25">
      <c r="A58" s="6" t="s">
        <v>128</v>
      </c>
      <c r="B58" s="6" t="s">
        <v>126</v>
      </c>
      <c r="C58" s="6">
        <f t="shared" si="0"/>
        <v>1</v>
      </c>
      <c r="D58" s="6">
        <v>2</v>
      </c>
      <c r="E58">
        <v>91.529536585365804</v>
      </c>
      <c r="F58">
        <v>0.876</v>
      </c>
      <c r="G58">
        <v>5.7064720092915202</v>
      </c>
      <c r="H58">
        <v>92.483679012345604</v>
      </c>
      <c r="K58" s="18" t="s">
        <v>342</v>
      </c>
      <c r="L58">
        <v>-1.1006648999999999</v>
      </c>
      <c r="M58">
        <v>-1.1006648999999999</v>
      </c>
      <c r="N58">
        <v>0.771931957962538</v>
      </c>
      <c r="O58">
        <v>0.44864123944712297</v>
      </c>
      <c r="P58" s="20">
        <v>8.8360000000000003</v>
      </c>
      <c r="Q58">
        <v>5.9</v>
      </c>
      <c r="R58" s="5">
        <v>2.218</v>
      </c>
      <c r="S58" s="8">
        <v>0.44700000000000001</v>
      </c>
      <c r="T58" s="6" t="s">
        <v>129</v>
      </c>
    </row>
    <row r="59" spans="1:20" ht="14.25">
      <c r="A59" s="6" t="s">
        <v>130</v>
      </c>
      <c r="B59" s="6" t="s">
        <v>126</v>
      </c>
      <c r="C59" s="6">
        <f t="shared" si="0"/>
        <v>0</v>
      </c>
      <c r="D59" s="6">
        <v>0</v>
      </c>
      <c r="E59">
        <v>91.413943089430902</v>
      </c>
      <c r="F59">
        <v>0.877999999999999</v>
      </c>
      <c r="G59">
        <v>5.5899186660029798</v>
      </c>
      <c r="H59">
        <v>92.451309051954993</v>
      </c>
      <c r="K59" s="18" t="s">
        <v>342</v>
      </c>
      <c r="L59">
        <v>-1.1488678000000001</v>
      </c>
      <c r="M59">
        <v>-1.1488678000000001</v>
      </c>
      <c r="N59">
        <v>0.77055193051293203</v>
      </c>
      <c r="O59">
        <v>0.42115725269809701</v>
      </c>
      <c r="P59" s="20">
        <v>5.7489999999999997</v>
      </c>
      <c r="Q59">
        <v>-1.9</v>
      </c>
      <c r="R59" s="5">
        <v>1.0529999999999999</v>
      </c>
      <c r="S59" s="8">
        <v>0.29299999999999998</v>
      </c>
      <c r="T59" s="6" t="s">
        <v>131</v>
      </c>
    </row>
    <row r="60" spans="1:20" ht="14.25">
      <c r="A60" s="6" t="s">
        <v>132</v>
      </c>
      <c r="B60" s="6" t="s">
        <v>126</v>
      </c>
      <c r="C60" s="6">
        <f t="shared" si="0"/>
        <v>1</v>
      </c>
      <c r="D60" s="6">
        <v>1</v>
      </c>
      <c r="E60">
        <v>91.242138211382098</v>
      </c>
      <c r="F60">
        <v>0.874</v>
      </c>
      <c r="G60">
        <v>5.7304359714617501</v>
      </c>
      <c r="H60">
        <v>92.187418181818103</v>
      </c>
      <c r="K60" s="18" t="s">
        <v>342</v>
      </c>
      <c r="L60">
        <v>-1.0781069999999999</v>
      </c>
      <c r="M60">
        <v>-1.0781069999999999</v>
      </c>
      <c r="N60">
        <v>0.77256654824224402</v>
      </c>
      <c r="O60">
        <v>0.46139611298536598</v>
      </c>
      <c r="P60" s="20">
        <v>8.9339999999999993</v>
      </c>
      <c r="Q60">
        <v>4</v>
      </c>
      <c r="R60" s="5">
        <v>1.4330000000000001</v>
      </c>
      <c r="S60" s="8">
        <v>0.49199999999999999</v>
      </c>
      <c r="T60" s="6" t="s">
        <v>133</v>
      </c>
    </row>
    <row r="61" spans="1:20" ht="14.25">
      <c r="A61" s="6" t="s">
        <v>134</v>
      </c>
      <c r="B61" s="6" t="s">
        <v>126</v>
      </c>
      <c r="C61" s="6">
        <f t="shared" si="0"/>
        <v>0</v>
      </c>
      <c r="D61" s="6">
        <v>0</v>
      </c>
      <c r="E61">
        <v>91.066219512195104</v>
      </c>
      <c r="F61">
        <v>0.86599999999999999</v>
      </c>
      <c r="G61">
        <v>5.9886455616392897</v>
      </c>
      <c r="H61">
        <v>91.956106451612897</v>
      </c>
      <c r="K61" s="18" t="s">
        <v>342</v>
      </c>
      <c r="L61">
        <v>-1.1023015</v>
      </c>
      <c r="M61">
        <v>-1.1023015</v>
      </c>
      <c r="N61">
        <v>0.77242441348382196</v>
      </c>
      <c r="O61">
        <v>0.45853429364951398</v>
      </c>
      <c r="P61" s="20">
        <v>7.484</v>
      </c>
      <c r="Q61">
        <v>-1</v>
      </c>
      <c r="R61" s="5">
        <v>1.2310000000000001</v>
      </c>
      <c r="S61" s="8">
        <v>0.107</v>
      </c>
      <c r="T61" s="6" t="s">
        <v>135</v>
      </c>
    </row>
    <row r="62" spans="1:20" ht="14.25">
      <c r="A62" s="6" t="s">
        <v>136</v>
      </c>
      <c r="B62" s="6" t="s">
        <v>126</v>
      </c>
      <c r="C62" s="6">
        <f t="shared" si="0"/>
        <v>0</v>
      </c>
      <c r="D62" s="6">
        <v>0</v>
      </c>
      <c r="E62">
        <v>91.076967479674707</v>
      </c>
      <c r="F62">
        <v>0.86799999999999999</v>
      </c>
      <c r="G62">
        <v>5.9714643769703004</v>
      </c>
      <c r="H62">
        <v>91.994223761321194</v>
      </c>
      <c r="K62" s="18" t="s">
        <v>342</v>
      </c>
      <c r="L62">
        <v>-1.0946114</v>
      </c>
      <c r="M62">
        <v>-1.0946114</v>
      </c>
      <c r="N62">
        <v>0.77371597002247805</v>
      </c>
      <c r="O62">
        <v>0.484616474252484</v>
      </c>
      <c r="P62" s="20">
        <v>5.7140000000000004</v>
      </c>
      <c r="Q62">
        <v>-2</v>
      </c>
      <c r="R62" s="5">
        <v>1.1890000000000001</v>
      </c>
      <c r="S62" s="8">
        <v>7.9000000000000001E-2</v>
      </c>
      <c r="T62" s="6" t="s">
        <v>137</v>
      </c>
    </row>
    <row r="63" spans="1:20" s="11" customFormat="1" ht="14.25">
      <c r="A63" s="11" t="s">
        <v>138</v>
      </c>
      <c r="B63" s="11" t="s">
        <v>139</v>
      </c>
      <c r="C63" s="11">
        <f t="shared" si="0"/>
        <v>0</v>
      </c>
      <c r="D63" s="11">
        <v>0</v>
      </c>
      <c r="E63" s="11">
        <v>87.952723577235702</v>
      </c>
      <c r="F63" s="11">
        <v>0.81199999999999894</v>
      </c>
      <c r="G63" s="11">
        <v>7.9642761572921801</v>
      </c>
      <c r="H63" s="11">
        <v>89.030038379530893</v>
      </c>
      <c r="K63" s="16" t="s">
        <v>342</v>
      </c>
      <c r="L63" s="11">
        <v>-1.3178247000000001</v>
      </c>
      <c r="M63" s="11">
        <v>-1.3178247000000001</v>
      </c>
      <c r="N63" s="11">
        <v>0.76521454614059403</v>
      </c>
      <c r="O63" s="11">
        <v>0.32067689772607999</v>
      </c>
      <c r="P63" s="11">
        <v>8.4269999999999996</v>
      </c>
      <c r="Q63" s="11">
        <v>2.1</v>
      </c>
      <c r="R63" s="12">
        <v>1.1579999999999999</v>
      </c>
      <c r="S63" s="12">
        <v>9.8000000000000004E-2</v>
      </c>
      <c r="T63" s="11" t="s">
        <v>140</v>
      </c>
    </row>
    <row r="64" spans="1:20" ht="14.25">
      <c r="A64" s="6" t="s">
        <v>141</v>
      </c>
      <c r="B64" s="6" t="s">
        <v>139</v>
      </c>
      <c r="C64" s="6">
        <f t="shared" si="0"/>
        <v>0</v>
      </c>
      <c r="D64" s="6">
        <v>0</v>
      </c>
      <c r="E64">
        <v>91.190821138211305</v>
      </c>
      <c r="F64">
        <v>0.876</v>
      </c>
      <c r="G64">
        <v>5.7381254687240704</v>
      </c>
      <c r="H64">
        <v>92.274766304347807</v>
      </c>
      <c r="K64" s="18" t="s">
        <v>342</v>
      </c>
      <c r="L64">
        <v>-1.2870722000000001</v>
      </c>
      <c r="M64">
        <v>-1.2870722000000001</v>
      </c>
      <c r="N64">
        <v>0.76847928512872399</v>
      </c>
      <c r="O64">
        <v>0.38082941806249498</v>
      </c>
      <c r="P64" s="20">
        <v>8.7479999999999993</v>
      </c>
      <c r="Q64">
        <v>1.1000000000000001</v>
      </c>
      <c r="R64" s="5">
        <v>1.248</v>
      </c>
      <c r="S64" s="8">
        <v>7.0000000000000007E-2</v>
      </c>
      <c r="T64" s="6" t="s">
        <v>142</v>
      </c>
    </row>
    <row r="65" spans="1:20" ht="14.25">
      <c r="A65" s="6" t="s">
        <v>143</v>
      </c>
      <c r="B65" s="6" t="s">
        <v>139</v>
      </c>
      <c r="C65" s="6">
        <f t="shared" si="0"/>
        <v>1</v>
      </c>
      <c r="D65" s="6">
        <v>2</v>
      </c>
      <c r="E65">
        <v>90.839455284552798</v>
      </c>
      <c r="F65">
        <v>0.872</v>
      </c>
      <c r="G65">
        <v>5.7504442010950703</v>
      </c>
      <c r="H65">
        <v>91.919614854111401</v>
      </c>
      <c r="K65" s="18" t="s">
        <v>342</v>
      </c>
      <c r="L65">
        <v>-1.2258233999999999</v>
      </c>
      <c r="M65">
        <v>-1.2258233999999999</v>
      </c>
      <c r="N65">
        <v>0.77794846892123803</v>
      </c>
      <c r="O65">
        <v>0.56992000648516605</v>
      </c>
      <c r="P65" s="20">
        <v>7.0650000000000004</v>
      </c>
      <c r="Q65">
        <v>-1.1000000000000001</v>
      </c>
      <c r="R65" s="5">
        <v>1.7350000000000001</v>
      </c>
      <c r="S65" s="8">
        <v>0.215</v>
      </c>
      <c r="T65" s="6" t="s">
        <v>144</v>
      </c>
    </row>
    <row r="66" spans="1:20" ht="14.25">
      <c r="A66" s="6" t="s">
        <v>145</v>
      </c>
      <c r="B66" s="6" t="s">
        <v>139</v>
      </c>
      <c r="C66" s="6">
        <f t="shared" si="0"/>
        <v>0</v>
      </c>
      <c r="D66" s="6">
        <v>0</v>
      </c>
      <c r="E66">
        <v>90.7990243902439</v>
      </c>
      <c r="F66">
        <v>0.874</v>
      </c>
      <c r="G66">
        <v>5.7789074829931897</v>
      </c>
      <c r="H66">
        <v>91.7806258798051</v>
      </c>
      <c r="K66" s="18" t="s">
        <v>342</v>
      </c>
      <c r="L66">
        <v>-1.2780788999999999</v>
      </c>
      <c r="M66">
        <v>-1.2780788999999999</v>
      </c>
      <c r="N66">
        <v>0.77145019055834596</v>
      </c>
      <c r="O66">
        <v>0.43900201548554102</v>
      </c>
      <c r="P66" s="20">
        <v>5.6139999999999999</v>
      </c>
      <c r="Q66">
        <v>-2</v>
      </c>
      <c r="R66" s="5">
        <v>1.2290000000000001</v>
      </c>
      <c r="S66" s="8">
        <v>9.9000000000000005E-2</v>
      </c>
      <c r="T66" s="6" t="s">
        <v>146</v>
      </c>
    </row>
    <row r="67" spans="1:20" ht="14.25">
      <c r="A67" s="6" t="s">
        <v>147</v>
      </c>
      <c r="B67" s="6" t="s">
        <v>139</v>
      </c>
      <c r="C67" s="6">
        <f t="shared" ref="C67:C130" si="1">IF(D67="", "", IF(D67 &gt;= 1, 1, 0))</f>
        <v>0</v>
      </c>
      <c r="D67" s="6">
        <v>0</v>
      </c>
      <c r="E67">
        <v>90.7990243902439</v>
      </c>
      <c r="F67">
        <v>0.874</v>
      </c>
      <c r="G67">
        <v>5.7789074829931897</v>
      </c>
      <c r="H67">
        <v>91.7806258798051</v>
      </c>
      <c r="K67" s="18" t="s">
        <v>342</v>
      </c>
      <c r="L67">
        <v>-1.2781222999999999</v>
      </c>
      <c r="M67">
        <v>-1.2781222999999999</v>
      </c>
      <c r="N67">
        <v>0.77145019055834596</v>
      </c>
      <c r="O67">
        <v>0.43900201548554102</v>
      </c>
      <c r="P67" s="20">
        <v>5.6139999999999999</v>
      </c>
      <c r="Q67">
        <v>-2</v>
      </c>
      <c r="R67" s="5">
        <v>1.343</v>
      </c>
      <c r="S67" s="8">
        <v>0.151</v>
      </c>
      <c r="T67" s="6" t="s">
        <v>146</v>
      </c>
    </row>
    <row r="68" spans="1:20" ht="14.25">
      <c r="A68" s="6" t="s">
        <v>148</v>
      </c>
      <c r="B68" s="6" t="s">
        <v>139</v>
      </c>
      <c r="C68" s="6">
        <f t="shared" si="1"/>
        <v>1</v>
      </c>
      <c r="D68" s="6">
        <v>1</v>
      </c>
      <c r="E68">
        <v>90.713113821138194</v>
      </c>
      <c r="F68">
        <v>0.869999999999999</v>
      </c>
      <c r="G68">
        <v>5.9562700514352001</v>
      </c>
      <c r="H68">
        <v>91.819521386031397</v>
      </c>
      <c r="K68" s="18" t="s">
        <v>342</v>
      </c>
      <c r="L68">
        <v>-1.1890385999999999</v>
      </c>
      <c r="M68">
        <v>-1.1890385999999999</v>
      </c>
      <c r="N68">
        <v>0.76918466622109105</v>
      </c>
      <c r="O68">
        <v>0.39440039945306998</v>
      </c>
      <c r="P68" s="20">
        <v>8.7469999999999999</v>
      </c>
      <c r="Q68">
        <v>1.1000000000000001</v>
      </c>
      <c r="R68" s="5">
        <v>1.542</v>
      </c>
      <c r="S68" s="8">
        <v>0.161</v>
      </c>
      <c r="T68" s="6" t="s">
        <v>149</v>
      </c>
    </row>
    <row r="69" spans="1:20" s="11" customFormat="1" ht="14.25">
      <c r="A69" s="11" t="s">
        <v>150</v>
      </c>
      <c r="B69" s="11" t="s">
        <v>50</v>
      </c>
      <c r="C69" s="11">
        <f t="shared" si="1"/>
        <v>0</v>
      </c>
      <c r="D69" s="11">
        <v>0</v>
      </c>
      <c r="E69" s="11">
        <v>89.504581673306703</v>
      </c>
      <c r="F69" s="11">
        <v>0.84</v>
      </c>
      <c r="G69" s="11">
        <v>6.9511530199203104</v>
      </c>
      <c r="H69" s="11">
        <v>90.679774125132496</v>
      </c>
      <c r="K69" s="16" t="s">
        <v>342</v>
      </c>
      <c r="L69" s="11">
        <v>-1.2482281</v>
      </c>
      <c r="M69" s="11">
        <v>-1.2482281</v>
      </c>
      <c r="N69" s="11">
        <v>0.767982849209216</v>
      </c>
      <c r="O69" s="11">
        <v>0.371387408295967</v>
      </c>
      <c r="P69" s="11">
        <v>5.085</v>
      </c>
      <c r="Q69">
        <v>-6.3</v>
      </c>
      <c r="R69" s="12" t="s">
        <v>7</v>
      </c>
      <c r="S69" s="12" t="s">
        <v>7</v>
      </c>
      <c r="T69" s="11" t="s">
        <v>151</v>
      </c>
    </row>
    <row r="70" spans="1:20" ht="14.25">
      <c r="A70" s="9" t="s">
        <v>152</v>
      </c>
      <c r="B70" s="6" t="s">
        <v>50</v>
      </c>
      <c r="C70" s="9">
        <f t="shared" si="1"/>
        <v>0</v>
      </c>
      <c r="D70" s="9">
        <v>0</v>
      </c>
      <c r="E70">
        <v>91.170549800796806</v>
      </c>
      <c r="F70">
        <v>0.86</v>
      </c>
      <c r="G70">
        <v>6.1025176095617502</v>
      </c>
      <c r="H70">
        <v>92.338181338956204</v>
      </c>
      <c r="K70" s="18" t="s">
        <v>342</v>
      </c>
      <c r="L70">
        <v>-1.2169333</v>
      </c>
      <c r="M70">
        <v>-1.2169333</v>
      </c>
      <c r="N70">
        <v>0.77582030932153401</v>
      </c>
      <c r="O70">
        <v>0.527228091015292</v>
      </c>
      <c r="P70" s="9">
        <v>5.4020000000000001</v>
      </c>
      <c r="Q70">
        <v>-4.3</v>
      </c>
      <c r="R70" s="4" t="s">
        <v>7</v>
      </c>
      <c r="S70" s="4" t="s">
        <v>7</v>
      </c>
      <c r="T70" s="9" t="s">
        <v>153</v>
      </c>
    </row>
    <row r="71" spans="1:20" ht="14.25">
      <c r="A71" s="9" t="s">
        <v>154</v>
      </c>
      <c r="B71" s="6" t="s">
        <v>50</v>
      </c>
      <c r="C71" s="9">
        <f t="shared" si="1"/>
        <v>0</v>
      </c>
      <c r="D71" s="9">
        <v>0</v>
      </c>
      <c r="E71">
        <v>91.051609561752898</v>
      </c>
      <c r="F71">
        <v>0.86599999999999999</v>
      </c>
      <c r="G71">
        <v>6.0880427410358502</v>
      </c>
      <c r="H71">
        <v>92.207708727655103</v>
      </c>
      <c r="K71" s="18" t="s">
        <v>342</v>
      </c>
      <c r="L71">
        <v>-1.3210301</v>
      </c>
      <c r="M71">
        <v>-1.3210301</v>
      </c>
      <c r="N71">
        <v>0.77601764798358097</v>
      </c>
      <c r="O71">
        <v>0.53121338568271104</v>
      </c>
      <c r="P71" s="9">
        <v>5.274</v>
      </c>
      <c r="Q71">
        <v>-5.3</v>
      </c>
      <c r="R71" s="4" t="s">
        <v>7</v>
      </c>
      <c r="S71" s="4" t="s">
        <v>7</v>
      </c>
      <c r="T71" s="9" t="s">
        <v>155</v>
      </c>
    </row>
    <row r="72" spans="1:20" ht="14.25">
      <c r="A72" s="9" t="s">
        <v>156</v>
      </c>
      <c r="B72" s="6" t="s">
        <v>50</v>
      </c>
      <c r="C72" s="9">
        <f t="shared" si="1"/>
        <v>1</v>
      </c>
      <c r="D72" s="9">
        <v>1</v>
      </c>
      <c r="E72">
        <v>90.919362549800795</v>
      </c>
      <c r="F72">
        <v>0.86599999999999999</v>
      </c>
      <c r="G72">
        <v>6.0401164621513903</v>
      </c>
      <c r="H72">
        <v>92.050527865404803</v>
      </c>
      <c r="K72" s="18" t="s">
        <v>342</v>
      </c>
      <c r="L72">
        <v>-1.2673165</v>
      </c>
      <c r="M72">
        <v>-1.2673165</v>
      </c>
      <c r="N72">
        <v>0.78030239091772202</v>
      </c>
      <c r="O72">
        <v>0.615934906289202</v>
      </c>
      <c r="P72" s="9">
        <v>4.7969999999999997</v>
      </c>
      <c r="Q72">
        <v>-8.4</v>
      </c>
      <c r="R72" s="4" t="s">
        <v>7</v>
      </c>
      <c r="S72" s="4" t="s">
        <v>7</v>
      </c>
      <c r="T72" s="9" t="s">
        <v>157</v>
      </c>
    </row>
    <row r="73" spans="1:20" ht="14.25">
      <c r="A73" s="9" t="s">
        <v>158</v>
      </c>
      <c r="B73" s="6" t="s">
        <v>50</v>
      </c>
      <c r="C73" s="9">
        <f t="shared" si="1"/>
        <v>0</v>
      </c>
      <c r="D73" s="9">
        <v>-1</v>
      </c>
      <c r="E73">
        <v>90.563609561752997</v>
      </c>
      <c r="F73">
        <v>0.85599999999999998</v>
      </c>
      <c r="G73">
        <v>6.3447490039840604</v>
      </c>
      <c r="H73">
        <v>91.726406086043994</v>
      </c>
      <c r="K73" s="18" t="s">
        <v>342</v>
      </c>
      <c r="L73">
        <v>-1.2493483000000001</v>
      </c>
      <c r="M73">
        <v>-1.2493483000000001</v>
      </c>
      <c r="N73">
        <v>0.77664185969398203</v>
      </c>
      <c r="O73">
        <v>0.54379089661086299</v>
      </c>
      <c r="P73" s="9">
        <v>5.4640000000000004</v>
      </c>
      <c r="Q73">
        <v>-4.4000000000000004</v>
      </c>
      <c r="R73" s="4" t="s">
        <v>7</v>
      </c>
      <c r="S73" s="4" t="s">
        <v>7</v>
      </c>
      <c r="T73" s="9" t="s">
        <v>159</v>
      </c>
    </row>
    <row r="74" spans="1:20" ht="14.25">
      <c r="A74" s="9" t="s">
        <v>160</v>
      </c>
      <c r="B74" s="6" t="s">
        <v>50</v>
      </c>
      <c r="C74" s="9">
        <f t="shared" si="1"/>
        <v>0</v>
      </c>
      <c r="D74" s="9">
        <v>0</v>
      </c>
      <c r="E74">
        <v>90.509338645418296</v>
      </c>
      <c r="F74">
        <v>0.85799999999999998</v>
      </c>
      <c r="G74">
        <v>6.3098507729083604</v>
      </c>
      <c r="H74">
        <v>91.718440084835606</v>
      </c>
      <c r="K74" s="18" t="s">
        <v>342</v>
      </c>
      <c r="L74">
        <v>-1.2301108000000001</v>
      </c>
      <c r="M74">
        <v>-1.2301108000000001</v>
      </c>
      <c r="N74">
        <v>0.77455801837336602</v>
      </c>
      <c r="O74">
        <v>0.50167532100800805</v>
      </c>
      <c r="P74" s="9">
        <v>5.4329999999999998</v>
      </c>
      <c r="Q74">
        <v>-4.3</v>
      </c>
      <c r="R74" s="4" t="s">
        <v>7</v>
      </c>
      <c r="S74" s="4" t="s">
        <v>7</v>
      </c>
      <c r="T74" s="9" t="s">
        <v>161</v>
      </c>
    </row>
    <row r="75" spans="1:20" s="11" customFormat="1" ht="14.25">
      <c r="A75" s="11" t="s">
        <v>162</v>
      </c>
      <c r="B75" s="11" t="s">
        <v>163</v>
      </c>
      <c r="C75" s="11">
        <f t="shared" si="1"/>
        <v>0</v>
      </c>
      <c r="D75" s="11">
        <v>0</v>
      </c>
      <c r="E75" s="11">
        <v>88.121510040160601</v>
      </c>
      <c r="F75" s="11">
        <v>0.75</v>
      </c>
      <c r="G75" s="11">
        <v>9.0943323293172593</v>
      </c>
      <c r="H75" s="11">
        <v>89.387992549228301</v>
      </c>
      <c r="K75" s="16" t="s">
        <v>342</v>
      </c>
      <c r="L75" s="11">
        <v>-1.2483645999999999</v>
      </c>
      <c r="M75" s="11">
        <v>-1.2483645999999999</v>
      </c>
      <c r="N75" s="11">
        <v>0.76347845512077495</v>
      </c>
      <c r="O75" s="11">
        <v>0.290823674648438</v>
      </c>
      <c r="P75" s="11">
        <v>7.9370000000000003</v>
      </c>
      <c r="Q75">
        <v>2.1</v>
      </c>
      <c r="R75" s="12">
        <v>0.57199999999999995</v>
      </c>
      <c r="S75" s="12">
        <v>0.191</v>
      </c>
      <c r="T75" s="11" t="s">
        <v>164</v>
      </c>
    </row>
    <row r="76" spans="1:20" ht="14.25">
      <c r="A76" s="9" t="s">
        <v>165</v>
      </c>
      <c r="B76" s="6" t="s">
        <v>163</v>
      </c>
      <c r="C76" s="9">
        <f t="shared" si="1"/>
        <v>1</v>
      </c>
      <c r="D76" s="9">
        <v>1</v>
      </c>
      <c r="E76">
        <v>91.613044176706794</v>
      </c>
      <c r="F76">
        <v>0.872</v>
      </c>
      <c r="G76">
        <v>5.58510176188625</v>
      </c>
      <c r="H76">
        <v>92.946115404976098</v>
      </c>
      <c r="K76" s="18" t="s">
        <v>342</v>
      </c>
      <c r="L76">
        <v>-1.2022082999999999</v>
      </c>
      <c r="M76">
        <v>-1.2022082999999999</v>
      </c>
      <c r="N76">
        <v>0.77371489007209804</v>
      </c>
      <c r="O76">
        <v>0.48459461031676898</v>
      </c>
      <c r="P76" s="9">
        <v>5.5579999999999998</v>
      </c>
      <c r="Q76">
        <v>-3</v>
      </c>
      <c r="R76" s="5">
        <v>2.5840000000000001</v>
      </c>
      <c r="S76" s="10">
        <v>1.0549999999999999</v>
      </c>
      <c r="T76" s="9" t="s">
        <v>166</v>
      </c>
    </row>
    <row r="77" spans="1:20" ht="14.25">
      <c r="A77" s="9" t="s">
        <v>167</v>
      </c>
      <c r="B77" s="6" t="s">
        <v>163</v>
      </c>
      <c r="C77" s="9">
        <f t="shared" si="1"/>
        <v>1</v>
      </c>
      <c r="D77" s="9">
        <v>2</v>
      </c>
      <c r="E77">
        <v>90.596899598393506</v>
      </c>
      <c r="F77">
        <v>0.78400000000000003</v>
      </c>
      <c r="G77">
        <v>8.1497086086280603</v>
      </c>
      <c r="H77">
        <v>92.001757704569599</v>
      </c>
      <c r="K77" s="18" t="s">
        <v>342</v>
      </c>
      <c r="L77">
        <v>-1.1749358999999999</v>
      </c>
      <c r="M77">
        <v>-1.1749358999999999</v>
      </c>
      <c r="N77">
        <v>0.77869621953507695</v>
      </c>
      <c r="O77">
        <v>0.58470929732503796</v>
      </c>
      <c r="P77" s="9">
        <v>8.0410000000000004</v>
      </c>
      <c r="Q77">
        <v>2.9</v>
      </c>
      <c r="R77" s="5">
        <v>7.25</v>
      </c>
      <c r="S77" s="10">
        <v>2.827</v>
      </c>
      <c r="T77" s="9" t="s">
        <v>168</v>
      </c>
    </row>
    <row r="78" spans="1:20" ht="14.25">
      <c r="A78" s="9" t="s">
        <v>169</v>
      </c>
      <c r="B78" s="6" t="s">
        <v>163</v>
      </c>
      <c r="C78" s="9">
        <f t="shared" si="1"/>
        <v>1</v>
      </c>
      <c r="D78" s="9">
        <v>2</v>
      </c>
      <c r="E78">
        <v>90.419493975903606</v>
      </c>
      <c r="F78">
        <v>0.81399999999999995</v>
      </c>
      <c r="G78">
        <v>7.2253480373105301</v>
      </c>
      <c r="H78">
        <v>91.779281886387906</v>
      </c>
      <c r="K78" s="18" t="s">
        <v>342</v>
      </c>
      <c r="L78">
        <v>-1.2287059</v>
      </c>
      <c r="M78">
        <v>-1.2287059</v>
      </c>
      <c r="N78">
        <v>0.77463331881129605</v>
      </c>
      <c r="O78">
        <v>0.503201211143123</v>
      </c>
      <c r="P78" s="9">
        <v>7.1589999999999998</v>
      </c>
      <c r="Q78">
        <v>0</v>
      </c>
      <c r="R78" s="5">
        <v>5.2839999999999998</v>
      </c>
      <c r="S78" s="10">
        <v>2.8490000000000002</v>
      </c>
      <c r="T78" s="9" t="s">
        <v>170</v>
      </c>
    </row>
    <row r="79" spans="1:20" ht="14.25">
      <c r="A79" s="9" t="s">
        <v>171</v>
      </c>
      <c r="B79" s="6" t="s">
        <v>163</v>
      </c>
      <c r="C79" s="9">
        <f t="shared" si="1"/>
        <v>0</v>
      </c>
      <c r="D79" s="9">
        <v>0</v>
      </c>
      <c r="E79">
        <v>90.3956144578313</v>
      </c>
      <c r="F79">
        <v>0.83599999999999997</v>
      </c>
      <c r="G79">
        <v>6.7103034395647096</v>
      </c>
      <c r="H79">
        <v>91.790594279660993</v>
      </c>
      <c r="K79" s="18" t="s">
        <v>342</v>
      </c>
      <c r="L79">
        <v>-1.2645236</v>
      </c>
      <c r="M79">
        <v>-1.2645236</v>
      </c>
      <c r="N79">
        <v>0.77605760870764395</v>
      </c>
      <c r="O79">
        <v>0.53201993270882897</v>
      </c>
      <c r="P79" s="9">
        <v>8.5779999999999994</v>
      </c>
      <c r="Q79">
        <v>5.9</v>
      </c>
      <c r="R79" s="5">
        <v>0.76500000000000001</v>
      </c>
      <c r="S79" s="10">
        <v>0.16700000000000001</v>
      </c>
      <c r="T79" s="9" t="s">
        <v>172</v>
      </c>
    </row>
    <row r="80" spans="1:20" ht="14.25">
      <c r="A80" s="9" t="s">
        <v>173</v>
      </c>
      <c r="B80" s="6" t="s">
        <v>163</v>
      </c>
      <c r="C80" s="9">
        <f t="shared" si="1"/>
        <v>1</v>
      </c>
      <c r="D80" s="9">
        <v>2</v>
      </c>
      <c r="E80">
        <v>90.343309236947704</v>
      </c>
      <c r="F80">
        <v>0.81799999999999995</v>
      </c>
      <c r="G80">
        <v>7.1271738567171896</v>
      </c>
      <c r="H80">
        <v>91.657343026386599</v>
      </c>
      <c r="K80" s="18" t="s">
        <v>342</v>
      </c>
      <c r="L80">
        <v>-1.2028072999999999</v>
      </c>
      <c r="M80">
        <v>-1.2028072999999999</v>
      </c>
      <c r="N80">
        <v>0.77206163024865704</v>
      </c>
      <c r="O80">
        <v>0.45124264202904102</v>
      </c>
      <c r="P80" s="9">
        <v>7.0419999999999998</v>
      </c>
      <c r="Q80">
        <v>-0.9</v>
      </c>
      <c r="R80" s="5">
        <v>6.9729999999999999</v>
      </c>
      <c r="S80" s="10">
        <v>2.91</v>
      </c>
      <c r="T80" s="9" t="s">
        <v>174</v>
      </c>
    </row>
    <row r="81" spans="1:20" s="11" customFormat="1" ht="14.25">
      <c r="A81" s="11" t="s">
        <v>175</v>
      </c>
      <c r="B81" s="11" t="s">
        <v>176</v>
      </c>
      <c r="C81" s="11">
        <f t="shared" si="1"/>
        <v>0</v>
      </c>
      <c r="D81" s="11">
        <v>0</v>
      </c>
      <c r="E81" s="11">
        <v>88.6110781893004</v>
      </c>
      <c r="F81" s="11">
        <v>0.76200000000000001</v>
      </c>
      <c r="G81" s="11">
        <v>9.0384151277080491</v>
      </c>
      <c r="H81" s="11">
        <v>89.897348302300102</v>
      </c>
      <c r="K81" s="16" t="s">
        <v>342</v>
      </c>
      <c r="L81" s="11">
        <v>-1.1659789</v>
      </c>
      <c r="M81" s="11">
        <v>-1.1659789</v>
      </c>
      <c r="N81" s="11">
        <v>0.76454390007371698</v>
      </c>
      <c r="O81" s="11">
        <v>0.30895184359780897</v>
      </c>
      <c r="P81" s="11">
        <v>8.0549999999999997</v>
      </c>
      <c r="Q81">
        <v>0.1</v>
      </c>
      <c r="R81" s="12">
        <v>0.97699999999999998</v>
      </c>
      <c r="S81" s="12">
        <v>7.8E-2</v>
      </c>
      <c r="T81" s="11" t="s">
        <v>177</v>
      </c>
    </row>
    <row r="82" spans="1:20" ht="14.25">
      <c r="A82" s="9" t="s">
        <v>178</v>
      </c>
      <c r="B82" s="6" t="s">
        <v>176</v>
      </c>
      <c r="C82" s="9">
        <f t="shared" si="1"/>
        <v>0</v>
      </c>
      <c r="D82" s="9">
        <v>0</v>
      </c>
      <c r="E82">
        <v>91.128609053497897</v>
      </c>
      <c r="F82">
        <v>0.86799999999999999</v>
      </c>
      <c r="G82">
        <v>5.9065379042954804</v>
      </c>
      <c r="H82">
        <v>92.316681643835594</v>
      </c>
      <c r="K82" s="18" t="s">
        <v>342</v>
      </c>
      <c r="L82">
        <v>-1.1758580000000001</v>
      </c>
      <c r="M82">
        <v>-1.1758580000000001</v>
      </c>
      <c r="N82">
        <v>0.769709392399481</v>
      </c>
      <c r="O82">
        <v>0.40460371560615399</v>
      </c>
      <c r="P82" s="9">
        <v>8.1449999999999996</v>
      </c>
      <c r="Q82">
        <v>0</v>
      </c>
      <c r="R82" s="5">
        <v>1.1399999999999999</v>
      </c>
      <c r="S82" s="10">
        <v>0.108</v>
      </c>
      <c r="T82" s="9" t="s">
        <v>179</v>
      </c>
    </row>
    <row r="83" spans="1:20" ht="14.25">
      <c r="A83" s="9" t="s">
        <v>180</v>
      </c>
      <c r="B83" s="6" t="s">
        <v>176</v>
      </c>
      <c r="C83" s="9">
        <f t="shared" si="1"/>
        <v>1</v>
      </c>
      <c r="D83" s="9">
        <v>2</v>
      </c>
      <c r="E83">
        <v>91.0532181069958</v>
      </c>
      <c r="F83">
        <v>0.872</v>
      </c>
      <c r="G83">
        <v>5.7575262728293</v>
      </c>
      <c r="H83">
        <v>92.232425324675305</v>
      </c>
      <c r="K83" s="18" t="s">
        <v>342</v>
      </c>
      <c r="L83">
        <v>-1.1817266</v>
      </c>
      <c r="M83">
        <v>-1.1817266</v>
      </c>
      <c r="N83">
        <v>0.77396378904003305</v>
      </c>
      <c r="O83">
        <v>0.48963503719060297</v>
      </c>
      <c r="P83" s="9">
        <v>6.8170000000000002</v>
      </c>
      <c r="Q83">
        <v>-1</v>
      </c>
      <c r="R83" s="5">
        <v>2.61</v>
      </c>
      <c r="S83" s="10">
        <v>0.51100000000000001</v>
      </c>
      <c r="T83" s="9" t="s">
        <v>181</v>
      </c>
    </row>
    <row r="84" spans="1:20" ht="14.25">
      <c r="A84" s="9" t="s">
        <v>182</v>
      </c>
      <c r="B84" s="6" t="s">
        <v>176</v>
      </c>
      <c r="C84" s="9">
        <f t="shared" si="1"/>
        <v>0</v>
      </c>
      <c r="D84" s="9">
        <v>0</v>
      </c>
      <c r="E84">
        <v>90.961991769547296</v>
      </c>
      <c r="F84">
        <v>0.874</v>
      </c>
      <c r="G84">
        <v>5.7558556609869704</v>
      </c>
      <c r="H84">
        <v>92.050985334057501</v>
      </c>
      <c r="K84" s="18" t="s">
        <v>342</v>
      </c>
      <c r="L84">
        <v>-1.1799170999999999</v>
      </c>
      <c r="M84">
        <v>-1.1799170999999999</v>
      </c>
      <c r="N84">
        <v>0.77126665596422805</v>
      </c>
      <c r="O84">
        <v>0.43534151693200102</v>
      </c>
      <c r="P84" s="9">
        <v>5.9710000000000001</v>
      </c>
      <c r="Q84">
        <v>-2</v>
      </c>
      <c r="R84" s="5">
        <v>1.1419999999999999</v>
      </c>
      <c r="S84" s="10">
        <v>0.09</v>
      </c>
      <c r="T84" s="9" t="s">
        <v>183</v>
      </c>
    </row>
    <row r="85" spans="1:20" ht="14.25">
      <c r="A85" s="9" t="s">
        <v>184</v>
      </c>
      <c r="B85" s="6" t="s">
        <v>176</v>
      </c>
      <c r="C85" s="9">
        <f t="shared" si="1"/>
        <v>0</v>
      </c>
      <c r="D85" s="9">
        <v>0</v>
      </c>
      <c r="E85">
        <v>90.856082304526694</v>
      </c>
      <c r="F85">
        <v>0.86799999999999999</v>
      </c>
      <c r="G85">
        <v>5.92524426078971</v>
      </c>
      <c r="H85">
        <v>92.040375824175797</v>
      </c>
      <c r="K85" s="18" t="s">
        <v>342</v>
      </c>
      <c r="L85">
        <v>-1.1880603000000001</v>
      </c>
      <c r="M85">
        <v>-1.1880603000000001</v>
      </c>
      <c r="N85">
        <v>0.76850714616134796</v>
      </c>
      <c r="O85">
        <v>0.38136207936222599</v>
      </c>
      <c r="P85" s="9">
        <v>8.2140000000000004</v>
      </c>
      <c r="Q85">
        <v>0</v>
      </c>
      <c r="R85" s="5">
        <v>0.93500000000000005</v>
      </c>
      <c r="S85" s="10">
        <v>0.36699999999999999</v>
      </c>
      <c r="T85" s="9" t="s">
        <v>185</v>
      </c>
    </row>
    <row r="86" spans="1:20" ht="14.25">
      <c r="A86" s="9" t="s">
        <v>186</v>
      </c>
      <c r="B86" s="6" t="s">
        <v>176</v>
      </c>
      <c r="C86" s="9">
        <f t="shared" si="1"/>
        <v>1</v>
      </c>
      <c r="D86" s="9">
        <v>1</v>
      </c>
      <c r="E86">
        <v>90.752131687242795</v>
      </c>
      <c r="F86">
        <v>0.86599999999999999</v>
      </c>
      <c r="G86">
        <v>6.0134219297350597</v>
      </c>
      <c r="H86">
        <v>91.881182960131</v>
      </c>
      <c r="K86" s="18" t="s">
        <v>342</v>
      </c>
      <c r="L86">
        <v>-1.1587499000000001</v>
      </c>
      <c r="M86">
        <v>-1.1587499000000001</v>
      </c>
      <c r="N86">
        <v>0.77195748380150597</v>
      </c>
      <c r="O86">
        <v>0.44915310501199901</v>
      </c>
      <c r="P86" s="9">
        <v>4.96</v>
      </c>
      <c r="Q86">
        <v>-6.9</v>
      </c>
      <c r="R86" s="5">
        <v>1.3109999999999999</v>
      </c>
      <c r="S86" s="10">
        <v>8.5000000000000006E-2</v>
      </c>
      <c r="T86" s="9" t="s">
        <v>187</v>
      </c>
    </row>
    <row r="87" spans="1:20" s="11" customFormat="1" ht="14.25">
      <c r="A87" s="11" t="s">
        <v>188</v>
      </c>
      <c r="B87" s="11" t="s">
        <v>189</v>
      </c>
      <c r="C87" s="11">
        <f t="shared" si="1"/>
        <v>0</v>
      </c>
      <c r="D87" s="11">
        <v>0</v>
      </c>
      <c r="E87" s="11">
        <v>90.2718285714285</v>
      </c>
      <c r="F87" s="11">
        <v>0.83</v>
      </c>
      <c r="G87" s="11">
        <v>7.2503770157243199</v>
      </c>
      <c r="H87" s="11">
        <v>91.797158356164303</v>
      </c>
      <c r="K87" s="16" t="s">
        <v>342</v>
      </c>
      <c r="L87" s="11">
        <v>-1.1333392</v>
      </c>
      <c r="M87" s="11">
        <v>-1.1333392</v>
      </c>
      <c r="N87" s="11">
        <v>0.77022125908147399</v>
      </c>
      <c r="O87" s="11">
        <v>0.41463713827434101</v>
      </c>
      <c r="P87" s="11">
        <v>6.3090000000000002</v>
      </c>
      <c r="Q87">
        <v>-1.9</v>
      </c>
      <c r="R87" s="12" t="s">
        <v>7</v>
      </c>
      <c r="S87" s="12" t="s">
        <v>7</v>
      </c>
      <c r="T87" s="11" t="s">
        <v>190</v>
      </c>
    </row>
    <row r="88" spans="1:20" ht="14.25">
      <c r="A88" s="9" t="s">
        <v>191</v>
      </c>
      <c r="B88" s="6" t="s">
        <v>189</v>
      </c>
      <c r="C88" s="9">
        <f t="shared" si="1"/>
        <v>0</v>
      </c>
      <c r="D88" s="9">
        <v>-1</v>
      </c>
      <c r="E88">
        <v>91.419714285714207</v>
      </c>
      <c r="F88">
        <v>0.86199999999999899</v>
      </c>
      <c r="G88">
        <v>5.8071470725995296</v>
      </c>
      <c r="H88">
        <v>92.880884405670599</v>
      </c>
      <c r="K88" s="18" t="s">
        <v>342</v>
      </c>
      <c r="L88">
        <v>-1.1448271999999999</v>
      </c>
      <c r="M88">
        <v>-1.1448271999999999</v>
      </c>
      <c r="N88">
        <v>0.78235379472549005</v>
      </c>
      <c r="O88">
        <v>0.65443966295169198</v>
      </c>
      <c r="P88" s="9">
        <v>5.0640000000000001</v>
      </c>
      <c r="Q88">
        <v>-6</v>
      </c>
      <c r="R88" s="4" t="s">
        <v>7</v>
      </c>
      <c r="S88" s="4" t="s">
        <v>7</v>
      </c>
      <c r="T88" s="9" t="s">
        <v>192</v>
      </c>
    </row>
    <row r="89" spans="1:20" ht="14.25">
      <c r="A89" s="9" t="s">
        <v>193</v>
      </c>
      <c r="B89" s="6" t="s">
        <v>189</v>
      </c>
      <c r="C89" s="9">
        <f t="shared" si="1"/>
        <v>0</v>
      </c>
      <c r="D89" s="9">
        <v>0</v>
      </c>
      <c r="E89">
        <v>91.261028571428497</v>
      </c>
      <c r="F89">
        <v>0.85</v>
      </c>
      <c r="G89">
        <v>6.2823867848778798</v>
      </c>
      <c r="H89">
        <v>92.724405844155797</v>
      </c>
      <c r="K89" s="18" t="s">
        <v>342</v>
      </c>
      <c r="L89">
        <v>-1.2009719999999999</v>
      </c>
      <c r="M89">
        <v>-1.2009719999999999</v>
      </c>
      <c r="N89">
        <v>0.785522926686823</v>
      </c>
      <c r="O89">
        <v>0.710023038972317</v>
      </c>
      <c r="P89" s="9">
        <v>5.45</v>
      </c>
      <c r="Q89">
        <v>-4</v>
      </c>
      <c r="R89" s="4" t="s">
        <v>7</v>
      </c>
      <c r="S89" s="4" t="s">
        <v>7</v>
      </c>
      <c r="T89" s="9" t="s">
        <v>194</v>
      </c>
    </row>
    <row r="90" spans="1:20" ht="14.25">
      <c r="A90" s="9" t="s">
        <v>195</v>
      </c>
      <c r="B90" s="6" t="s">
        <v>189</v>
      </c>
      <c r="C90" s="9">
        <f t="shared" si="1"/>
        <v>0</v>
      </c>
      <c r="D90" s="9">
        <v>0</v>
      </c>
      <c r="E90">
        <v>91.116506122448897</v>
      </c>
      <c r="F90">
        <v>0.85599999999999998</v>
      </c>
      <c r="G90">
        <v>6.1870363666778099</v>
      </c>
      <c r="H90">
        <v>92.555184782608606</v>
      </c>
      <c r="K90" s="18" t="s">
        <v>342</v>
      </c>
      <c r="L90">
        <v>-1.1650689999999999</v>
      </c>
      <c r="M90">
        <v>-1.1650689999999999</v>
      </c>
      <c r="N90">
        <v>0.78250030408472304</v>
      </c>
      <c r="O90">
        <v>0.65712040106814296</v>
      </c>
      <c r="P90" s="9">
        <v>5.48</v>
      </c>
      <c r="Q90">
        <v>-4</v>
      </c>
      <c r="R90" s="4" t="s">
        <v>7</v>
      </c>
      <c r="S90" s="4" t="s">
        <v>7</v>
      </c>
      <c r="T90" s="9" t="s">
        <v>196</v>
      </c>
    </row>
    <row r="91" spans="1:20" ht="14.25">
      <c r="A91" s="9" t="s">
        <v>197</v>
      </c>
      <c r="B91" s="6" t="s">
        <v>189</v>
      </c>
      <c r="C91" s="9">
        <f t="shared" si="1"/>
        <v>0</v>
      </c>
      <c r="D91" s="9">
        <v>0</v>
      </c>
      <c r="E91">
        <v>91.117036734693798</v>
      </c>
      <c r="F91">
        <v>0.85</v>
      </c>
      <c r="G91">
        <v>6.2141026430244199</v>
      </c>
      <c r="H91">
        <v>92.540319565217402</v>
      </c>
      <c r="K91" s="18" t="s">
        <v>342</v>
      </c>
      <c r="L91">
        <v>-1.1512327</v>
      </c>
      <c r="M91">
        <v>-1.1512327</v>
      </c>
      <c r="N91">
        <v>0.78025168583632298</v>
      </c>
      <c r="O91">
        <v>0.61496217264503905</v>
      </c>
      <c r="P91" s="9">
        <v>5.2050000000000001</v>
      </c>
      <c r="Q91">
        <v>-5</v>
      </c>
      <c r="R91" s="4" t="s">
        <v>7</v>
      </c>
      <c r="S91" s="4" t="s">
        <v>7</v>
      </c>
      <c r="T91" s="9" t="s">
        <v>198</v>
      </c>
    </row>
    <row r="92" spans="1:20" ht="14.25">
      <c r="A92" s="9" t="s">
        <v>199</v>
      </c>
      <c r="B92" s="6" t="s">
        <v>189</v>
      </c>
      <c r="C92" s="9">
        <f t="shared" si="1"/>
        <v>0</v>
      </c>
      <c r="D92" s="9">
        <v>0</v>
      </c>
      <c r="E92">
        <v>90.8530530612245</v>
      </c>
      <c r="F92">
        <v>0.84199999999999997</v>
      </c>
      <c r="G92">
        <v>6.43184734024757</v>
      </c>
      <c r="H92">
        <v>92.308537329700201</v>
      </c>
      <c r="K92" s="18" t="s">
        <v>342</v>
      </c>
      <c r="L92">
        <v>-1.1329328000000001</v>
      </c>
      <c r="M92">
        <v>-1.1329328000000001</v>
      </c>
      <c r="N92">
        <v>0.78319051932052697</v>
      </c>
      <c r="O92">
        <v>0.66961304318401005</v>
      </c>
      <c r="P92" s="9">
        <v>5.4509999999999996</v>
      </c>
      <c r="Q92">
        <v>-4</v>
      </c>
      <c r="R92" s="4" t="s">
        <v>7</v>
      </c>
      <c r="S92" s="4" t="s">
        <v>7</v>
      </c>
      <c r="T92" s="9" t="s">
        <v>200</v>
      </c>
    </row>
    <row r="93" spans="1:20" s="11" customFormat="1" ht="14.25">
      <c r="A93" s="11" t="s">
        <v>201</v>
      </c>
      <c r="B93" s="11" t="s">
        <v>202</v>
      </c>
      <c r="C93" s="11">
        <f t="shared" si="1"/>
        <v>1</v>
      </c>
      <c r="D93" s="11">
        <v>2</v>
      </c>
      <c r="E93" s="11">
        <v>90.963825396825399</v>
      </c>
      <c r="F93" s="11">
        <v>0.874</v>
      </c>
      <c r="G93" s="11">
        <v>5.8099604439385297</v>
      </c>
      <c r="H93" s="11">
        <v>92.4276174920969</v>
      </c>
      <c r="K93" s="16" t="s">
        <v>342</v>
      </c>
      <c r="L93" s="11">
        <v>-1.1742309</v>
      </c>
      <c r="M93" s="11">
        <v>-1.1742309</v>
      </c>
      <c r="N93" s="11">
        <v>0.76959193547197502</v>
      </c>
      <c r="O93" s="11">
        <v>0.40231224919788799</v>
      </c>
      <c r="P93" s="11">
        <v>7.8579999999999997</v>
      </c>
      <c r="Q93">
        <v>2</v>
      </c>
      <c r="R93" s="12">
        <v>9.61</v>
      </c>
      <c r="S93" s="12">
        <v>2.016</v>
      </c>
      <c r="T93" s="11" t="s">
        <v>203</v>
      </c>
    </row>
    <row r="94" spans="1:20" ht="14.25">
      <c r="A94" s="9" t="s">
        <v>204</v>
      </c>
      <c r="B94" s="6" t="s">
        <v>202</v>
      </c>
      <c r="C94" s="9">
        <v>1</v>
      </c>
      <c r="D94" s="9">
        <v>0</v>
      </c>
      <c r="E94">
        <v>92.111706349206301</v>
      </c>
      <c r="F94">
        <v>0.88800000000000001</v>
      </c>
      <c r="G94">
        <v>5.2991825713020901</v>
      </c>
      <c r="H94">
        <v>93.531867654843794</v>
      </c>
      <c r="K94" s="18" t="s">
        <v>342</v>
      </c>
      <c r="L94">
        <v>-1.1200428</v>
      </c>
      <c r="M94">
        <v>-1.1200428</v>
      </c>
      <c r="N94">
        <v>0.77485827624873305</v>
      </c>
      <c r="O94">
        <v>0.50775928752949895</v>
      </c>
      <c r="P94" s="9">
        <v>7.3819999999999997</v>
      </c>
      <c r="Q94">
        <v>0</v>
      </c>
      <c r="R94" s="4" t="s">
        <v>7</v>
      </c>
      <c r="S94" s="4" t="s">
        <v>7</v>
      </c>
      <c r="T94" s="9" t="s">
        <v>205</v>
      </c>
    </row>
    <row r="95" spans="1:20" ht="14.25">
      <c r="A95" s="9" t="s">
        <v>206</v>
      </c>
      <c r="B95" s="6" t="s">
        <v>202</v>
      </c>
      <c r="C95" s="9">
        <f t="shared" si="1"/>
        <v>1</v>
      </c>
      <c r="D95" s="9">
        <v>2</v>
      </c>
      <c r="E95">
        <v>91.933380952380901</v>
      </c>
      <c r="F95">
        <v>0.88800000000000001</v>
      </c>
      <c r="G95">
        <v>5.3817980459115899</v>
      </c>
      <c r="H95">
        <v>93.376386483632501</v>
      </c>
      <c r="K95" s="18" t="s">
        <v>342</v>
      </c>
      <c r="L95">
        <v>-1.1260011000000001</v>
      </c>
      <c r="M95">
        <v>-1.1260011000000001</v>
      </c>
      <c r="N95">
        <v>0.77349106297548498</v>
      </c>
      <c r="O95">
        <v>0.48006455673948301</v>
      </c>
      <c r="P95" s="9">
        <v>8.1959999999999997</v>
      </c>
      <c r="Q95">
        <v>3</v>
      </c>
      <c r="R95" s="4">
        <v>2.5779999999999998</v>
      </c>
      <c r="S95" s="4">
        <v>0.51800000000000002</v>
      </c>
      <c r="T95" s="9" t="s">
        <v>207</v>
      </c>
    </row>
    <row r="96" spans="1:20" ht="14.25">
      <c r="A96" s="9" t="s">
        <v>208</v>
      </c>
      <c r="B96" s="6" t="s">
        <v>202</v>
      </c>
      <c r="C96" s="9">
        <f t="shared" si="1"/>
        <v>1</v>
      </c>
      <c r="D96" s="9">
        <v>2</v>
      </c>
      <c r="E96">
        <v>91.899396825396806</v>
      </c>
      <c r="F96">
        <v>0.88599999999999901</v>
      </c>
      <c r="G96">
        <v>5.3887324037184596</v>
      </c>
      <c r="H96">
        <v>93.356180275715801</v>
      </c>
      <c r="K96" s="18" t="s">
        <v>342</v>
      </c>
      <c r="L96">
        <v>-1.0275923</v>
      </c>
      <c r="M96">
        <v>-1.0275923</v>
      </c>
      <c r="N96">
        <v>0.773807833020416</v>
      </c>
      <c r="O96">
        <v>0.48647647656473703</v>
      </c>
      <c r="P96" s="9">
        <v>8.2189999999999994</v>
      </c>
      <c r="Q96">
        <v>3</v>
      </c>
      <c r="R96" s="4">
        <v>4.024</v>
      </c>
      <c r="S96" s="4">
        <v>0.97899999999999998</v>
      </c>
      <c r="T96" s="9" t="s">
        <v>209</v>
      </c>
    </row>
    <row r="97" spans="1:20" ht="14.25">
      <c r="A97" s="9" t="s">
        <v>210</v>
      </c>
      <c r="B97" s="6" t="s">
        <v>202</v>
      </c>
      <c r="C97" s="9">
        <f t="shared" si="1"/>
        <v>1</v>
      </c>
      <c r="D97" s="9">
        <v>2</v>
      </c>
      <c r="E97">
        <v>91.900603174603106</v>
      </c>
      <c r="F97">
        <v>0.88599999999999901</v>
      </c>
      <c r="G97">
        <v>5.4019454878897104</v>
      </c>
      <c r="H97">
        <v>93.304846234309593</v>
      </c>
      <c r="K97" s="18" t="s">
        <v>342</v>
      </c>
      <c r="L97">
        <v>-1.096231</v>
      </c>
      <c r="M97">
        <v>-1.096231</v>
      </c>
      <c r="N97">
        <v>0.77395893952915695</v>
      </c>
      <c r="O97">
        <v>0.48953680678856698</v>
      </c>
      <c r="P97" s="9">
        <v>7.5259999999999998</v>
      </c>
      <c r="Q97">
        <v>1.1000000000000001</v>
      </c>
      <c r="R97" s="4">
        <v>2.927</v>
      </c>
      <c r="S97" s="4">
        <v>0.67200000000000004</v>
      </c>
      <c r="T97" s="9" t="s">
        <v>211</v>
      </c>
    </row>
    <row r="98" spans="1:20" ht="14.25">
      <c r="A98" s="9" t="s">
        <v>212</v>
      </c>
      <c r="B98" s="6" t="s">
        <v>202</v>
      </c>
      <c r="C98" s="9">
        <f t="shared" si="1"/>
        <v>1</v>
      </c>
      <c r="D98" s="9">
        <v>1</v>
      </c>
      <c r="E98">
        <v>91.867023809523801</v>
      </c>
      <c r="F98">
        <v>0.88400000000000001</v>
      </c>
      <c r="G98">
        <v>5.4368910706380804</v>
      </c>
      <c r="H98">
        <v>93.3255568421052</v>
      </c>
      <c r="K98" s="18" t="s">
        <v>342</v>
      </c>
      <c r="L98">
        <v>-1.0952790999999999</v>
      </c>
      <c r="M98">
        <v>-1.0952790999999999</v>
      </c>
      <c r="N98">
        <v>0.775014010997088</v>
      </c>
      <c r="O98">
        <v>0.51091406730574496</v>
      </c>
      <c r="P98" s="9">
        <v>6.7690000000000001</v>
      </c>
      <c r="Q98">
        <v>-1</v>
      </c>
      <c r="R98" s="4">
        <v>2.036</v>
      </c>
      <c r="S98" s="4">
        <v>0.77100000000000002</v>
      </c>
      <c r="T98" s="9" t="s">
        <v>213</v>
      </c>
    </row>
    <row r="99" spans="1:20" s="11" customFormat="1" ht="14.25">
      <c r="A99" s="11" t="s">
        <v>214</v>
      </c>
      <c r="B99" s="11" t="s">
        <v>215</v>
      </c>
      <c r="C99" s="11">
        <f t="shared" si="1"/>
        <v>0</v>
      </c>
      <c r="D99" s="11">
        <v>0</v>
      </c>
      <c r="E99" s="11">
        <v>91.516403292180996</v>
      </c>
      <c r="F99" s="11">
        <v>0.85799999999999998</v>
      </c>
      <c r="G99" s="11">
        <v>5.9791841648811301</v>
      </c>
      <c r="H99" s="11">
        <v>92.862368219178094</v>
      </c>
      <c r="K99" s="16" t="s">
        <v>342</v>
      </c>
      <c r="L99" s="11">
        <v>-1.1328833</v>
      </c>
      <c r="M99" s="11">
        <v>-1.1328833</v>
      </c>
      <c r="N99" s="11">
        <v>0.77328849533628397</v>
      </c>
      <c r="O99" s="11">
        <v>0.47596757845010801</v>
      </c>
      <c r="P99" s="11">
        <v>5.0810000000000004</v>
      </c>
      <c r="Q99">
        <v>-4.9000000000000004</v>
      </c>
      <c r="R99" s="12">
        <v>0.96099999999999997</v>
      </c>
      <c r="S99" s="12">
        <v>0.19700000000000001</v>
      </c>
      <c r="T99" s="11" t="s">
        <v>216</v>
      </c>
    </row>
    <row r="100" spans="1:20" ht="14.25">
      <c r="A100" s="9" t="s">
        <v>217</v>
      </c>
      <c r="B100" s="6" t="s">
        <v>215</v>
      </c>
      <c r="C100" s="9">
        <f t="shared" si="1"/>
        <v>0</v>
      </c>
      <c r="D100" s="9">
        <v>0</v>
      </c>
      <c r="E100">
        <v>93.114650205761293</v>
      </c>
      <c r="F100">
        <v>0.88599999999999901</v>
      </c>
      <c r="G100">
        <v>5.0983189130360804</v>
      </c>
      <c r="H100">
        <v>94.394610653487007</v>
      </c>
      <c r="K100" s="18" t="s">
        <v>342</v>
      </c>
      <c r="L100">
        <v>-1.0867054</v>
      </c>
      <c r="M100">
        <v>-1.0867054</v>
      </c>
      <c r="N100">
        <v>0.77924434765772999</v>
      </c>
      <c r="O100">
        <v>0.595455822983048</v>
      </c>
      <c r="P100" s="9">
        <v>5.1689999999999996</v>
      </c>
      <c r="Q100">
        <v>-4</v>
      </c>
      <c r="R100" s="5">
        <v>1.3049999999999999</v>
      </c>
      <c r="S100" s="10">
        <v>0.11</v>
      </c>
      <c r="T100" s="9" t="s">
        <v>218</v>
      </c>
    </row>
    <row r="101" spans="1:20" ht="14.25">
      <c r="A101" s="9" t="s">
        <v>219</v>
      </c>
      <c r="B101" s="6" t="s">
        <v>215</v>
      </c>
      <c r="C101" s="9">
        <f t="shared" si="1"/>
        <v>0</v>
      </c>
      <c r="D101" s="9">
        <v>0</v>
      </c>
      <c r="E101">
        <v>93.144098765432005</v>
      </c>
      <c r="F101">
        <v>0.88599999999999901</v>
      </c>
      <c r="G101">
        <v>5.0771135258306899</v>
      </c>
      <c r="H101">
        <v>94.429537694013305</v>
      </c>
      <c r="K101" s="18" t="s">
        <v>342</v>
      </c>
      <c r="L101">
        <v>-1.1061019000000001</v>
      </c>
      <c r="M101">
        <v>-1.1061019000000001</v>
      </c>
      <c r="N101">
        <v>0.77765901791493697</v>
      </c>
      <c r="O101">
        <v>0.56415993714292201</v>
      </c>
      <c r="P101" s="9">
        <v>5.117</v>
      </c>
      <c r="Q101">
        <v>-4</v>
      </c>
      <c r="R101" s="5">
        <v>1.151</v>
      </c>
      <c r="S101" s="10">
        <v>0.14000000000000001</v>
      </c>
      <c r="T101" s="9" t="s">
        <v>220</v>
      </c>
    </row>
    <row r="102" spans="1:20" ht="14.25">
      <c r="A102" s="9" t="s">
        <v>221</v>
      </c>
      <c r="B102" s="6" t="s">
        <v>215</v>
      </c>
      <c r="C102" s="9">
        <f t="shared" si="1"/>
        <v>0</v>
      </c>
      <c r="D102" s="9">
        <v>0</v>
      </c>
      <c r="E102">
        <v>93.138979423868307</v>
      </c>
      <c r="F102">
        <v>0.88400000000000001</v>
      </c>
      <c r="G102">
        <v>5.0744918545726598</v>
      </c>
      <c r="H102">
        <v>94.481886875343207</v>
      </c>
      <c r="K102" s="18" t="s">
        <v>342</v>
      </c>
      <c r="L102">
        <v>-1.0568717999999999</v>
      </c>
      <c r="M102">
        <v>-1.0568717999999999</v>
      </c>
      <c r="N102">
        <v>0.77945573273249302</v>
      </c>
      <c r="O102">
        <v>0.59957647449487494</v>
      </c>
      <c r="P102" s="9">
        <v>5.3819999999999997</v>
      </c>
      <c r="Q102">
        <v>-3</v>
      </c>
      <c r="R102" s="5">
        <v>1.2110000000000001</v>
      </c>
      <c r="S102" s="10">
        <v>9.5000000000000001E-2</v>
      </c>
      <c r="T102" s="9" t="s">
        <v>222</v>
      </c>
    </row>
    <row r="103" spans="1:20" ht="14.25">
      <c r="A103" s="9" t="s">
        <v>223</v>
      </c>
      <c r="B103" s="6" t="s">
        <v>215</v>
      </c>
      <c r="C103" s="9">
        <f t="shared" si="1"/>
        <v>1</v>
      </c>
      <c r="D103" s="9">
        <v>1</v>
      </c>
      <c r="E103">
        <v>93.153753086419698</v>
      </c>
      <c r="F103">
        <v>0.88400000000000001</v>
      </c>
      <c r="G103">
        <v>5.0743609495629602</v>
      </c>
      <c r="H103">
        <v>94.452280955024904</v>
      </c>
      <c r="K103" s="18" t="s">
        <v>342</v>
      </c>
      <c r="L103">
        <v>-1.0900243999999999</v>
      </c>
      <c r="M103">
        <v>-1.0900243999999999</v>
      </c>
      <c r="N103">
        <v>0.77547400389090304</v>
      </c>
      <c r="O103">
        <v>0.520226295001185</v>
      </c>
      <c r="P103" s="9">
        <v>4.9589999999999996</v>
      </c>
      <c r="Q103">
        <v>-5.9</v>
      </c>
      <c r="R103" s="5">
        <v>1.2629999999999999</v>
      </c>
      <c r="S103" s="10">
        <v>5.2999999999999999E-2</v>
      </c>
      <c r="T103" s="9" t="s">
        <v>224</v>
      </c>
    </row>
    <row r="104" spans="1:20" ht="14.25">
      <c r="A104" s="9" t="s">
        <v>225</v>
      </c>
      <c r="B104" s="6" t="s">
        <v>215</v>
      </c>
      <c r="C104" s="9">
        <f t="shared" si="1"/>
        <v>1</v>
      </c>
      <c r="D104" s="9">
        <v>1</v>
      </c>
      <c r="E104">
        <v>93.085193415637804</v>
      </c>
      <c r="F104">
        <v>0.88599999999999901</v>
      </c>
      <c r="G104">
        <v>5.0901552222562296</v>
      </c>
      <c r="H104">
        <v>94.4408173817381</v>
      </c>
      <c r="K104" s="18" t="s">
        <v>342</v>
      </c>
      <c r="L104">
        <v>-1.0832548</v>
      </c>
      <c r="M104">
        <v>-1.0832548</v>
      </c>
      <c r="N104">
        <v>0.77589712496693097</v>
      </c>
      <c r="O104">
        <v>0.52877983933425299</v>
      </c>
      <c r="P104" s="9">
        <v>4.7670000000000003</v>
      </c>
      <c r="Q104">
        <v>-5.9</v>
      </c>
      <c r="R104" s="5">
        <v>1.3120000000000001</v>
      </c>
      <c r="S104" s="10">
        <v>8.1000000000000003E-2</v>
      </c>
      <c r="T104" s="9" t="s">
        <v>226</v>
      </c>
    </row>
    <row r="105" spans="1:20" s="11" customFormat="1" ht="14.25">
      <c r="A105" s="11" t="s">
        <v>227</v>
      </c>
      <c r="B105" s="11" t="s">
        <v>228</v>
      </c>
      <c r="C105" s="11">
        <f t="shared" si="1"/>
        <v>0</v>
      </c>
      <c r="D105" s="11">
        <v>0</v>
      </c>
      <c r="E105" s="11">
        <v>89.284564516128995</v>
      </c>
      <c r="F105" s="11">
        <v>0.83199999999999996</v>
      </c>
      <c r="G105" s="11">
        <v>7.1527697205171696</v>
      </c>
      <c r="H105" s="11">
        <v>90.662919786096197</v>
      </c>
      <c r="K105" s="16" t="s">
        <v>342</v>
      </c>
      <c r="L105" s="11">
        <v>-1.243746</v>
      </c>
      <c r="M105" s="11">
        <v>-1.243746</v>
      </c>
      <c r="N105" s="11">
        <v>0.76955240743588305</v>
      </c>
      <c r="O105" s="11">
        <v>0.40154205013714001</v>
      </c>
      <c r="P105" s="11">
        <v>5.508</v>
      </c>
      <c r="Q105">
        <v>-3.9</v>
      </c>
      <c r="R105" s="12">
        <v>1.056</v>
      </c>
      <c r="S105" s="12">
        <v>0.111</v>
      </c>
      <c r="T105" s="11" t="s">
        <v>229</v>
      </c>
    </row>
    <row r="106" spans="1:20" ht="14.25">
      <c r="A106" s="9" t="s">
        <v>230</v>
      </c>
      <c r="B106" s="6" t="s">
        <v>228</v>
      </c>
      <c r="C106" s="9">
        <f t="shared" si="1"/>
        <v>1</v>
      </c>
      <c r="D106" s="9">
        <v>2</v>
      </c>
      <c r="E106">
        <v>90.966435483870896</v>
      </c>
      <c r="F106">
        <v>0.86399999999999999</v>
      </c>
      <c r="G106">
        <v>6.0306596251795703</v>
      </c>
      <c r="H106">
        <v>92.400414933333295</v>
      </c>
      <c r="K106" s="18" t="s">
        <v>342</v>
      </c>
      <c r="L106">
        <v>-1.2503447999999999</v>
      </c>
      <c r="M106">
        <v>-1.2503447999999999</v>
      </c>
      <c r="N106">
        <v>0.77565412891083496</v>
      </c>
      <c r="O106">
        <v>0.52386932926132601</v>
      </c>
      <c r="P106" s="9">
        <v>5.508</v>
      </c>
      <c r="Q106">
        <v>-3</v>
      </c>
      <c r="R106" s="5">
        <v>2.8719999999999999</v>
      </c>
      <c r="S106" s="10">
        <v>0.753</v>
      </c>
      <c r="T106" s="9" t="s">
        <v>231</v>
      </c>
    </row>
    <row r="107" spans="1:20" ht="14.25">
      <c r="A107" s="9" t="s">
        <v>232</v>
      </c>
      <c r="B107" s="6" t="s">
        <v>228</v>
      </c>
      <c r="C107" s="9">
        <f t="shared" si="1"/>
        <v>1</v>
      </c>
      <c r="D107" s="9">
        <v>2</v>
      </c>
      <c r="E107">
        <v>90.919274193548304</v>
      </c>
      <c r="F107">
        <v>0.86</v>
      </c>
      <c r="G107">
        <v>6.1704970941621999</v>
      </c>
      <c r="H107">
        <v>92.325344349680094</v>
      </c>
      <c r="K107" s="18" t="s">
        <v>342</v>
      </c>
      <c r="L107">
        <v>-1.2756000999999999</v>
      </c>
      <c r="M107">
        <v>-1.2756000999999999</v>
      </c>
      <c r="N107">
        <v>0.77799307956123098</v>
      </c>
      <c r="O107">
        <v>0.57080611671994397</v>
      </c>
      <c r="P107" s="9">
        <v>6.7320000000000002</v>
      </c>
      <c r="Q107">
        <v>-1</v>
      </c>
      <c r="R107" s="5">
        <v>5.0229999999999997</v>
      </c>
      <c r="S107" s="10">
        <v>3.444</v>
      </c>
      <c r="T107" s="9" t="s">
        <v>233</v>
      </c>
    </row>
    <row r="108" spans="1:20" ht="14.25">
      <c r="A108" s="9" t="s">
        <v>234</v>
      </c>
      <c r="B108" s="6" t="s">
        <v>228</v>
      </c>
      <c r="C108" s="9">
        <f t="shared" si="1"/>
        <v>1</v>
      </c>
      <c r="D108" s="9">
        <v>1</v>
      </c>
      <c r="E108">
        <v>90.711032258064506</v>
      </c>
      <c r="F108">
        <v>0.85799999999999998</v>
      </c>
      <c r="G108">
        <v>6.2472487593052097</v>
      </c>
      <c r="H108">
        <v>92.113033925686594</v>
      </c>
      <c r="K108" s="18" t="s">
        <v>342</v>
      </c>
      <c r="L108">
        <v>-1.2448535999999999</v>
      </c>
      <c r="M108">
        <v>-1.2448535999999999</v>
      </c>
      <c r="N108">
        <v>0.77663490232064003</v>
      </c>
      <c r="O108">
        <v>0.54365098675071899</v>
      </c>
      <c r="P108" s="9">
        <v>5.319</v>
      </c>
      <c r="Q108">
        <v>-3.9</v>
      </c>
      <c r="R108" s="5">
        <v>2.72</v>
      </c>
      <c r="S108" s="10">
        <v>0.41599999999999998</v>
      </c>
      <c r="T108" s="9" t="s">
        <v>235</v>
      </c>
    </row>
    <row r="109" spans="1:20" ht="14.25">
      <c r="A109" s="9" t="s">
        <v>236</v>
      </c>
      <c r="B109" s="6" t="s">
        <v>228</v>
      </c>
      <c r="C109" s="9">
        <f t="shared" si="1"/>
        <v>0</v>
      </c>
      <c r="D109" s="9">
        <v>0</v>
      </c>
      <c r="E109">
        <v>90.709879032258002</v>
      </c>
      <c r="F109">
        <v>0.85799999999999998</v>
      </c>
      <c r="G109">
        <v>6.2407825845631404</v>
      </c>
      <c r="H109">
        <v>92.179464684014803</v>
      </c>
      <c r="K109" s="18" t="s">
        <v>342</v>
      </c>
      <c r="L109">
        <v>-1.3699588</v>
      </c>
      <c r="M109">
        <v>-1.3699588</v>
      </c>
      <c r="N109">
        <v>0.77893900985050601</v>
      </c>
      <c r="O109">
        <v>0.58948000261251399</v>
      </c>
      <c r="P109" s="9">
        <v>5.56</v>
      </c>
      <c r="Q109">
        <v>-3</v>
      </c>
      <c r="R109" s="5">
        <v>1.321</v>
      </c>
      <c r="S109" s="10">
        <v>0.29399999999999998</v>
      </c>
      <c r="T109" s="9" t="s">
        <v>237</v>
      </c>
    </row>
    <row r="110" spans="1:20" ht="14.25">
      <c r="A110" s="9" t="s">
        <v>238</v>
      </c>
      <c r="B110" s="6" t="s">
        <v>228</v>
      </c>
      <c r="C110" s="9">
        <f t="shared" si="1"/>
        <v>1</v>
      </c>
      <c r="D110" s="9">
        <v>1</v>
      </c>
      <c r="E110">
        <v>90.568790322580597</v>
      </c>
      <c r="F110">
        <v>0.83</v>
      </c>
      <c r="G110">
        <v>7.0243251273344596</v>
      </c>
      <c r="H110">
        <v>92.002437333333305</v>
      </c>
      <c r="K110" s="18" t="s">
        <v>342</v>
      </c>
      <c r="L110">
        <v>-1.3106215999999999</v>
      </c>
      <c r="M110">
        <v>-1.3106215999999999</v>
      </c>
      <c r="N110">
        <v>0.77586816238979694</v>
      </c>
      <c r="O110">
        <v>0.52819483171925796</v>
      </c>
      <c r="P110" s="9">
        <v>7.2450000000000001</v>
      </c>
      <c r="Q110">
        <v>0</v>
      </c>
      <c r="R110" s="5">
        <v>2.581</v>
      </c>
      <c r="S110" s="10">
        <v>0.70599999999999996</v>
      </c>
      <c r="T110" s="9" t="s">
        <v>239</v>
      </c>
    </row>
    <row r="111" spans="1:20" s="11" customFormat="1" ht="14.25">
      <c r="A111" s="11" t="s">
        <v>240</v>
      </c>
      <c r="B111" s="11" t="s">
        <v>241</v>
      </c>
      <c r="C111" s="11">
        <f t="shared" si="1"/>
        <v>0</v>
      </c>
      <c r="D111" s="11">
        <v>0</v>
      </c>
      <c r="E111" s="11">
        <v>88.622895161290302</v>
      </c>
      <c r="F111" s="11">
        <v>0.82399999999999995</v>
      </c>
      <c r="G111" s="11">
        <v>7.3207928039702201</v>
      </c>
      <c r="H111" s="11">
        <v>89.606433992517296</v>
      </c>
      <c r="K111" s="16" t="s">
        <v>342</v>
      </c>
      <c r="L111" s="11">
        <v>-1.2267593000000001</v>
      </c>
      <c r="M111" s="11">
        <v>-1.2267593000000001</v>
      </c>
      <c r="N111" s="11">
        <v>0.76698896455083798</v>
      </c>
      <c r="O111" s="11">
        <v>0.352782242598842</v>
      </c>
      <c r="P111" s="11">
        <v>4.4779999999999998</v>
      </c>
      <c r="Q111">
        <v>-9.8000000000000007</v>
      </c>
      <c r="R111" s="12">
        <v>1.07</v>
      </c>
      <c r="S111" s="12">
        <v>0.19700000000000001</v>
      </c>
      <c r="T111" s="11" t="s">
        <v>242</v>
      </c>
    </row>
    <row r="112" spans="1:20" ht="14.25">
      <c r="A112" s="9" t="s">
        <v>243</v>
      </c>
      <c r="B112" s="6" t="s">
        <v>241</v>
      </c>
      <c r="C112" s="9">
        <f t="shared" si="1"/>
        <v>0</v>
      </c>
      <c r="D112" s="9">
        <v>0</v>
      </c>
      <c r="E112">
        <v>90.370080645161195</v>
      </c>
      <c r="F112">
        <v>0.85599999999999998</v>
      </c>
      <c r="G112">
        <v>6.1414156001044704</v>
      </c>
      <c r="H112">
        <v>91.405380901287501</v>
      </c>
      <c r="K112" s="18" t="s">
        <v>342</v>
      </c>
      <c r="L112">
        <v>-1.2057427999999999</v>
      </c>
      <c r="M112">
        <v>-1.2057427999999999</v>
      </c>
      <c r="N112">
        <v>0.77430132103765004</v>
      </c>
      <c r="O112">
        <v>0.49647353617545498</v>
      </c>
      <c r="P112" s="9">
        <v>5.3129999999999997</v>
      </c>
      <c r="Q112">
        <v>-4</v>
      </c>
      <c r="R112" s="5">
        <v>1.075</v>
      </c>
      <c r="S112" s="10">
        <v>0.113</v>
      </c>
      <c r="T112" s="9" t="s">
        <v>244</v>
      </c>
    </row>
    <row r="113" spans="1:20" ht="14.25">
      <c r="A113" s="9" t="s">
        <v>245</v>
      </c>
      <c r="B113" s="6" t="s">
        <v>241</v>
      </c>
      <c r="C113" s="9">
        <f t="shared" si="1"/>
        <v>1</v>
      </c>
      <c r="D113" s="9">
        <v>1</v>
      </c>
      <c r="E113">
        <v>89.947395161290302</v>
      </c>
      <c r="F113">
        <v>0.84799999999999998</v>
      </c>
      <c r="G113">
        <v>6.4248879130207603</v>
      </c>
      <c r="H113">
        <v>90.975855460385404</v>
      </c>
      <c r="K113" s="18" t="s">
        <v>342</v>
      </c>
      <c r="L113">
        <v>-1.1984458</v>
      </c>
      <c r="M113">
        <v>-1.1984458</v>
      </c>
      <c r="N113">
        <v>0.77301127004721804</v>
      </c>
      <c r="O113">
        <v>0.47036597895211502</v>
      </c>
      <c r="P113" s="9">
        <v>6.1210000000000004</v>
      </c>
      <c r="Q113">
        <v>-1.9</v>
      </c>
      <c r="R113" s="5">
        <v>2.194</v>
      </c>
      <c r="S113" s="10">
        <v>0.46400000000000002</v>
      </c>
      <c r="T113" s="9" t="s">
        <v>246</v>
      </c>
    </row>
    <row r="114" spans="1:20" ht="14.25">
      <c r="A114" s="9" t="s">
        <v>247</v>
      </c>
      <c r="B114" s="6" t="s">
        <v>241</v>
      </c>
      <c r="C114" s="9">
        <f t="shared" si="1"/>
        <v>0</v>
      </c>
      <c r="D114" s="9">
        <v>0</v>
      </c>
      <c r="E114">
        <v>89.6391693548387</v>
      </c>
      <c r="F114">
        <v>0.81599999999999995</v>
      </c>
      <c r="G114">
        <v>7.5210870771842702</v>
      </c>
      <c r="H114">
        <v>90.7674437367303</v>
      </c>
      <c r="K114" s="18" t="s">
        <v>342</v>
      </c>
      <c r="L114">
        <v>-1.2444252</v>
      </c>
      <c r="M114">
        <v>-1.2444252</v>
      </c>
      <c r="N114">
        <v>0.77556321866714895</v>
      </c>
      <c r="O114">
        <v>0.52203095977400404</v>
      </c>
      <c r="P114" s="9">
        <v>7.8319999999999999</v>
      </c>
      <c r="Q114">
        <v>2</v>
      </c>
      <c r="R114" s="5">
        <v>1.0049999999999999</v>
      </c>
      <c r="S114" s="10">
        <v>0.247</v>
      </c>
      <c r="T114" s="9" t="s">
        <v>248</v>
      </c>
    </row>
    <row r="115" spans="1:20" ht="14.25">
      <c r="A115" s="9" t="s">
        <v>249</v>
      </c>
      <c r="B115" s="6" t="s">
        <v>241</v>
      </c>
      <c r="C115" s="9">
        <f t="shared" si="1"/>
        <v>0</v>
      </c>
      <c r="D115" s="9">
        <v>0</v>
      </c>
      <c r="E115">
        <v>89.505596774193506</v>
      </c>
      <c r="F115">
        <v>0.78400000000000003</v>
      </c>
      <c r="G115">
        <v>8.1718255844325398</v>
      </c>
      <c r="H115">
        <v>90.589114649681505</v>
      </c>
      <c r="K115" s="18" t="s">
        <v>342</v>
      </c>
      <c r="L115">
        <v>-1.2349897999999999</v>
      </c>
      <c r="M115">
        <v>-1.2349897999999999</v>
      </c>
      <c r="N115">
        <v>0.77999525699448202</v>
      </c>
      <c r="O115">
        <v>0.61002886234239895</v>
      </c>
      <c r="P115" s="9">
        <v>7.06</v>
      </c>
      <c r="Q115">
        <v>-0.1</v>
      </c>
      <c r="R115" s="5">
        <v>0.94399999999999995</v>
      </c>
      <c r="S115" s="10">
        <v>7.8E-2</v>
      </c>
      <c r="T115" s="9" t="s">
        <v>250</v>
      </c>
    </row>
    <row r="116" spans="1:20" ht="14.25">
      <c r="A116" s="9" t="s">
        <v>251</v>
      </c>
      <c r="B116" s="6" t="s">
        <v>241</v>
      </c>
      <c r="C116" s="9">
        <f t="shared" si="1"/>
        <v>1</v>
      </c>
      <c r="D116" s="9">
        <v>2</v>
      </c>
      <c r="E116">
        <v>89.3988709677419</v>
      </c>
      <c r="F116">
        <v>0.81599999999999995</v>
      </c>
      <c r="G116">
        <v>7.5449594815201699</v>
      </c>
      <c r="H116">
        <v>90.491395822174596</v>
      </c>
      <c r="K116" s="18" t="s">
        <v>342</v>
      </c>
      <c r="L116">
        <v>-1.2305136000000001</v>
      </c>
      <c r="M116">
        <v>-1.2305136000000001</v>
      </c>
      <c r="N116">
        <v>0.77139088616849705</v>
      </c>
      <c r="O116">
        <v>0.43781847555710601</v>
      </c>
      <c r="P116" s="9">
        <v>8.1050000000000004</v>
      </c>
      <c r="Q116">
        <v>1</v>
      </c>
      <c r="R116" s="5">
        <v>3.1880000000000002</v>
      </c>
      <c r="S116" s="10">
        <v>0.91900000000000004</v>
      </c>
      <c r="T116" s="9" t="s">
        <v>252</v>
      </c>
    </row>
    <row r="117" spans="1:20" s="11" customFormat="1" ht="14.25">
      <c r="A117" s="11" t="s">
        <v>253</v>
      </c>
      <c r="B117" s="11" t="s">
        <v>254</v>
      </c>
      <c r="C117" s="11">
        <f t="shared" si="1"/>
        <v>0</v>
      </c>
      <c r="D117" s="11">
        <v>0</v>
      </c>
      <c r="E117" s="11">
        <v>89.312168</v>
      </c>
      <c r="F117" s="11">
        <v>0.82399999999999995</v>
      </c>
      <c r="G117" s="11">
        <v>7.3285192610441703</v>
      </c>
      <c r="H117" s="11">
        <v>90.524485074626796</v>
      </c>
      <c r="K117" s="16" t="s">
        <v>342</v>
      </c>
      <c r="L117" s="11">
        <v>-1.1238035</v>
      </c>
      <c r="M117" s="11">
        <v>-1.1238035</v>
      </c>
      <c r="N117" s="11">
        <v>0.76479608457210502</v>
      </c>
      <c r="O117" s="11">
        <v>0.313333094375982</v>
      </c>
      <c r="P117" s="11">
        <v>6.7229999999999999</v>
      </c>
      <c r="Q117">
        <v>-0.9</v>
      </c>
      <c r="R117" s="12" t="s">
        <v>7</v>
      </c>
      <c r="S117" s="12" t="s">
        <v>7</v>
      </c>
      <c r="T117" s="11" t="s">
        <v>255</v>
      </c>
    </row>
    <row r="118" spans="1:20" ht="14.25">
      <c r="A118" s="9" t="s">
        <v>256</v>
      </c>
      <c r="B118" s="6" t="s">
        <v>254</v>
      </c>
      <c r="C118" s="9">
        <f t="shared" si="1"/>
        <v>0</v>
      </c>
      <c r="D118" s="9">
        <v>0</v>
      </c>
      <c r="E118">
        <v>91.482184000000004</v>
      </c>
      <c r="F118">
        <v>0.88400000000000001</v>
      </c>
      <c r="G118">
        <v>5.4585039357429697</v>
      </c>
      <c r="H118">
        <v>92.668540656973605</v>
      </c>
      <c r="K118" s="18" t="s">
        <v>342</v>
      </c>
      <c r="L118">
        <v>-1.1143022</v>
      </c>
      <c r="M118">
        <v>-1.1143022</v>
      </c>
      <c r="N118">
        <v>0.76964438109804501</v>
      </c>
      <c r="O118">
        <v>0.40333488982884802</v>
      </c>
      <c r="P118" s="9">
        <v>5.3029999999999999</v>
      </c>
      <c r="Q118">
        <v>-4.8</v>
      </c>
      <c r="R118" s="4" t="s">
        <v>7</v>
      </c>
      <c r="S118" s="4" t="s">
        <v>7</v>
      </c>
      <c r="T118" s="9" t="s">
        <v>257</v>
      </c>
    </row>
    <row r="119" spans="1:20" ht="14.25">
      <c r="A119" s="9" t="s">
        <v>258</v>
      </c>
      <c r="B119" s="6" t="s">
        <v>254</v>
      </c>
      <c r="C119" s="9">
        <f t="shared" si="1"/>
        <v>0</v>
      </c>
      <c r="D119" s="9">
        <v>0</v>
      </c>
      <c r="E119">
        <v>91.305160000000001</v>
      </c>
      <c r="F119">
        <v>0.88400000000000001</v>
      </c>
      <c r="G119">
        <v>5.4620897028112401</v>
      </c>
      <c r="H119">
        <v>92.478807712908406</v>
      </c>
      <c r="K119" s="18" t="s">
        <v>342</v>
      </c>
      <c r="L119">
        <v>-1.0836513000000001</v>
      </c>
      <c r="M119">
        <v>-1.0836513000000001</v>
      </c>
      <c r="N119">
        <v>0.77479737465026899</v>
      </c>
      <c r="O119">
        <v>0.50652539802115604</v>
      </c>
      <c r="P119" s="9">
        <v>5.032</v>
      </c>
      <c r="Q119">
        <v>-5</v>
      </c>
      <c r="R119" s="4" t="s">
        <v>7</v>
      </c>
      <c r="S119" s="4" t="s">
        <v>7</v>
      </c>
      <c r="T119" s="9" t="s">
        <v>259</v>
      </c>
    </row>
    <row r="120" spans="1:20" ht="14.25">
      <c r="A120" s="9" t="s">
        <v>260</v>
      </c>
      <c r="B120" s="6" t="s">
        <v>254</v>
      </c>
      <c r="C120" s="9">
        <f t="shared" si="1"/>
        <v>0</v>
      </c>
      <c r="D120" s="9">
        <v>0</v>
      </c>
      <c r="E120">
        <v>91.341904</v>
      </c>
      <c r="F120">
        <v>0.88</v>
      </c>
      <c r="G120">
        <v>5.4963942811244904</v>
      </c>
      <c r="H120">
        <v>92.528725310307607</v>
      </c>
      <c r="K120" s="18" t="s">
        <v>342</v>
      </c>
      <c r="L120">
        <v>-1.0867336000000001</v>
      </c>
      <c r="M120">
        <v>-1.0867336000000001</v>
      </c>
      <c r="N120">
        <v>0.77325950623787698</v>
      </c>
      <c r="O120">
        <v>0.47538151865081502</v>
      </c>
      <c r="P120" s="9">
        <v>7.0309999999999997</v>
      </c>
      <c r="Q120">
        <v>-0.9</v>
      </c>
      <c r="R120" s="4" t="s">
        <v>7</v>
      </c>
      <c r="S120" s="4" t="s">
        <v>7</v>
      </c>
      <c r="T120" s="9" t="s">
        <v>261</v>
      </c>
    </row>
    <row r="121" spans="1:20" ht="14.25">
      <c r="A121" s="9" t="s">
        <v>262</v>
      </c>
      <c r="B121" s="6" t="s">
        <v>254</v>
      </c>
      <c r="C121" s="9">
        <f t="shared" si="1"/>
        <v>0</v>
      </c>
      <c r="D121" s="9">
        <v>0</v>
      </c>
      <c r="E121">
        <v>91.209983999999906</v>
      </c>
      <c r="F121">
        <v>0.88</v>
      </c>
      <c r="G121">
        <v>5.50322846586345</v>
      </c>
      <c r="H121">
        <v>92.412438841201705</v>
      </c>
      <c r="K121" s="18" t="s">
        <v>342</v>
      </c>
      <c r="L121">
        <v>-1.1712117</v>
      </c>
      <c r="M121">
        <v>-1.1712117</v>
      </c>
      <c r="N121">
        <v>0.76868443646142703</v>
      </c>
      <c r="O121">
        <v>0.38475824624747401</v>
      </c>
      <c r="P121" s="9">
        <v>8.0190000000000001</v>
      </c>
      <c r="Q121">
        <v>0.1</v>
      </c>
      <c r="R121" s="4" t="s">
        <v>7</v>
      </c>
      <c r="S121" s="4" t="s">
        <v>7</v>
      </c>
      <c r="T121" s="9" t="s">
        <v>263</v>
      </c>
    </row>
    <row r="122" spans="1:20" ht="14.25">
      <c r="A122" s="9" t="s">
        <v>264</v>
      </c>
      <c r="B122" s="6" t="s">
        <v>254</v>
      </c>
      <c r="C122" s="9">
        <f t="shared" si="1"/>
        <v>0</v>
      </c>
      <c r="D122" s="9">
        <v>0</v>
      </c>
      <c r="E122">
        <v>90.938751999999994</v>
      </c>
      <c r="F122">
        <v>0.869999999999999</v>
      </c>
      <c r="G122">
        <v>5.7767141204819197</v>
      </c>
      <c r="H122">
        <v>92.151363733905498</v>
      </c>
      <c r="K122" s="18" t="s">
        <v>342</v>
      </c>
      <c r="L122">
        <v>-1.1181894999999999</v>
      </c>
      <c r="M122">
        <v>-1.1181894999999999</v>
      </c>
      <c r="N122">
        <v>0.76948945598433705</v>
      </c>
      <c r="O122">
        <v>0.400316452930424</v>
      </c>
      <c r="P122" s="9">
        <v>7.202</v>
      </c>
      <c r="Q122">
        <v>-0.9</v>
      </c>
      <c r="R122" s="4" t="s">
        <v>7</v>
      </c>
      <c r="S122" s="4" t="s">
        <v>7</v>
      </c>
      <c r="T122" s="9" t="s">
        <v>265</v>
      </c>
    </row>
    <row r="123" spans="1:20" s="11" customFormat="1" ht="14.25">
      <c r="A123" s="11" t="s">
        <v>266</v>
      </c>
      <c r="B123" s="11" t="s">
        <v>267</v>
      </c>
      <c r="C123" s="11">
        <f t="shared" si="1"/>
        <v>0</v>
      </c>
      <c r="D123" s="11">
        <v>0</v>
      </c>
      <c r="E123" s="11">
        <v>90.257039682539599</v>
      </c>
      <c r="F123" s="11">
        <v>0.85</v>
      </c>
      <c r="G123" s="11">
        <v>6.6586459242395497</v>
      </c>
      <c r="H123" s="11">
        <v>91.425248699271506</v>
      </c>
      <c r="K123" s="16" t="s">
        <v>342</v>
      </c>
      <c r="L123" s="11">
        <v>-1.2497039999999999</v>
      </c>
      <c r="M123" s="11">
        <v>-1.2497039999999999</v>
      </c>
      <c r="N123" s="11">
        <v>0.768071465779114</v>
      </c>
      <c r="O123" s="11">
        <v>0.37306590750059199</v>
      </c>
      <c r="P123" s="11">
        <v>7.1929999999999996</v>
      </c>
      <c r="Q123">
        <v>0.1</v>
      </c>
      <c r="R123" s="12" t="s">
        <v>7</v>
      </c>
      <c r="S123" s="12" t="s">
        <v>7</v>
      </c>
      <c r="T123" s="11" t="s">
        <v>268</v>
      </c>
    </row>
    <row r="124" spans="1:20" ht="14.25">
      <c r="A124" s="9" t="s">
        <v>269</v>
      </c>
      <c r="B124" s="6" t="s">
        <v>267</v>
      </c>
      <c r="C124" s="9">
        <f t="shared" si="1"/>
        <v>0</v>
      </c>
      <c r="D124" s="9">
        <v>0</v>
      </c>
      <c r="E124">
        <v>91.466325396825397</v>
      </c>
      <c r="F124">
        <v>0.88400000000000001</v>
      </c>
      <c r="G124">
        <v>5.5220232719913902</v>
      </c>
      <c r="H124">
        <v>92.504962611900993</v>
      </c>
      <c r="K124" s="18" t="s">
        <v>342</v>
      </c>
      <c r="L124">
        <v>-1.2567923000000001</v>
      </c>
      <c r="M124">
        <v>-1.2567923000000001</v>
      </c>
      <c r="N124">
        <v>0.77028833548558995</v>
      </c>
      <c r="O124">
        <v>0.415957400200758</v>
      </c>
      <c r="P124" s="9">
        <v>5.3029999999999999</v>
      </c>
      <c r="Q124">
        <v>-5.8</v>
      </c>
      <c r="R124" s="4" t="s">
        <v>7</v>
      </c>
      <c r="S124" s="4" t="s">
        <v>7</v>
      </c>
      <c r="T124" s="9" t="s">
        <v>270</v>
      </c>
    </row>
    <row r="125" spans="1:20" ht="14.25">
      <c r="A125" s="9" t="s">
        <v>271</v>
      </c>
      <c r="B125" s="6" t="s">
        <v>267</v>
      </c>
      <c r="C125" s="9">
        <f t="shared" si="1"/>
        <v>0</v>
      </c>
      <c r="D125" s="9">
        <v>0</v>
      </c>
      <c r="E125">
        <v>91.3319603174603</v>
      </c>
      <c r="F125">
        <v>0.88200000000000001</v>
      </c>
      <c r="G125">
        <v>5.5995962183013903</v>
      </c>
      <c r="H125">
        <v>92.406484720758598</v>
      </c>
      <c r="K125" s="18" t="s">
        <v>342</v>
      </c>
      <c r="L125">
        <v>-1.2026357999999999</v>
      </c>
      <c r="M125">
        <v>-1.2026357999999999</v>
      </c>
      <c r="N125">
        <v>0.76761581668857504</v>
      </c>
      <c r="O125">
        <v>0.36446876856113503</v>
      </c>
      <c r="P125" s="9">
        <v>5.7839999999999998</v>
      </c>
      <c r="Q125">
        <v>-2.8</v>
      </c>
      <c r="R125" s="4" t="s">
        <v>7</v>
      </c>
      <c r="S125" s="4" t="s">
        <v>7</v>
      </c>
      <c r="T125" s="9" t="s">
        <v>272</v>
      </c>
    </row>
    <row r="126" spans="1:20" ht="14.25">
      <c r="A126" s="9" t="s">
        <v>273</v>
      </c>
      <c r="B126" s="6" t="s">
        <v>267</v>
      </c>
      <c r="C126" s="9">
        <f t="shared" si="1"/>
        <v>0</v>
      </c>
      <c r="D126" s="9">
        <v>0</v>
      </c>
      <c r="E126">
        <v>91.297785714285695</v>
      </c>
      <c r="F126">
        <v>0.877999999999999</v>
      </c>
      <c r="G126">
        <v>5.6717240877758801</v>
      </c>
      <c r="H126">
        <v>92.371717299577995</v>
      </c>
      <c r="K126" s="18" t="s">
        <v>342</v>
      </c>
      <c r="L126">
        <v>-1.3348849</v>
      </c>
      <c r="M126">
        <v>-1.3348849</v>
      </c>
      <c r="N126">
        <v>0.76384931689283497</v>
      </c>
      <c r="O126">
        <v>0.29706244621332101</v>
      </c>
      <c r="P126" s="9">
        <v>5.7779999999999996</v>
      </c>
      <c r="Q126">
        <v>-2.8</v>
      </c>
      <c r="R126" s="4" t="s">
        <v>7</v>
      </c>
      <c r="S126" s="4" t="s">
        <v>7</v>
      </c>
      <c r="T126" s="9" t="s">
        <v>274</v>
      </c>
    </row>
    <row r="127" spans="1:20" ht="14.25">
      <c r="A127" s="9" t="s">
        <v>275</v>
      </c>
      <c r="B127" s="6" t="s">
        <v>267</v>
      </c>
      <c r="C127" s="9">
        <f t="shared" si="1"/>
        <v>0</v>
      </c>
      <c r="D127" s="9">
        <v>0</v>
      </c>
      <c r="E127">
        <v>91.207261904761907</v>
      </c>
      <c r="F127">
        <v>0.88</v>
      </c>
      <c r="G127">
        <v>5.68706953139821</v>
      </c>
      <c r="H127">
        <v>92.291055555555502</v>
      </c>
      <c r="K127" s="18" t="s">
        <v>342</v>
      </c>
      <c r="L127">
        <v>-1.1919367000000001</v>
      </c>
      <c r="M127">
        <v>-1.1919367000000001</v>
      </c>
      <c r="N127">
        <v>0.77227361502036096</v>
      </c>
      <c r="O127">
        <v>0.455501026641977</v>
      </c>
      <c r="P127" s="9">
        <v>8.2070000000000007</v>
      </c>
      <c r="Q127">
        <v>0.1</v>
      </c>
      <c r="R127" s="4" t="s">
        <v>7</v>
      </c>
      <c r="S127" s="4" t="s">
        <v>7</v>
      </c>
      <c r="T127" s="9" t="s">
        <v>276</v>
      </c>
    </row>
    <row r="128" spans="1:20" ht="14.25">
      <c r="A128" s="9" t="s">
        <v>277</v>
      </c>
      <c r="B128" s="6" t="s">
        <v>267</v>
      </c>
      <c r="C128" s="9">
        <f t="shared" si="1"/>
        <v>0</v>
      </c>
      <c r="D128" s="9">
        <v>0</v>
      </c>
      <c r="E128">
        <v>91.140571428571405</v>
      </c>
      <c r="F128">
        <v>0.88</v>
      </c>
      <c r="G128">
        <v>5.7204990514133902</v>
      </c>
      <c r="H128">
        <v>92.222398109243699</v>
      </c>
      <c r="K128" s="18" t="s">
        <v>342</v>
      </c>
      <c r="L128">
        <v>-1.1643342999999999</v>
      </c>
      <c r="M128">
        <v>-1.1643342999999999</v>
      </c>
      <c r="N128">
        <v>0.77052991006065796</v>
      </c>
      <c r="O128">
        <v>0.42072217551755697</v>
      </c>
      <c r="P128" s="9">
        <v>5.7279999999999998</v>
      </c>
      <c r="Q128">
        <v>-2.9</v>
      </c>
      <c r="R128" s="4" t="s">
        <v>7</v>
      </c>
      <c r="S128" s="4" t="s">
        <v>7</v>
      </c>
      <c r="T128" s="9" t="s">
        <v>278</v>
      </c>
    </row>
    <row r="129" spans="1:20" s="11" customFormat="1" ht="14.25">
      <c r="A129" s="11" t="s">
        <v>279</v>
      </c>
      <c r="B129" s="11" t="s">
        <v>280</v>
      </c>
      <c r="C129" s="11">
        <f t="shared" si="1"/>
        <v>0</v>
      </c>
      <c r="D129" s="11">
        <v>0</v>
      </c>
      <c r="E129" s="11">
        <v>88.862536000000006</v>
      </c>
      <c r="F129" s="11">
        <v>0.81799999999999995</v>
      </c>
      <c r="G129" s="11">
        <v>7.7146027951807197</v>
      </c>
      <c r="H129" s="11">
        <v>90.256345493562193</v>
      </c>
      <c r="K129" s="16" t="s">
        <v>342</v>
      </c>
      <c r="L129" s="11">
        <v>-1.1997465</v>
      </c>
      <c r="M129" s="11">
        <v>-1.1997465</v>
      </c>
      <c r="N129" s="11">
        <v>0.77035439430939501</v>
      </c>
      <c r="O129" s="11">
        <v>0.41725881302435502</v>
      </c>
      <c r="P129" s="11">
        <v>5.484</v>
      </c>
      <c r="Q129">
        <v>-3.9</v>
      </c>
      <c r="R129" s="12" t="s">
        <v>7</v>
      </c>
      <c r="S129" s="12" t="s">
        <v>7</v>
      </c>
      <c r="T129" s="11" t="s">
        <v>281</v>
      </c>
    </row>
    <row r="130" spans="1:20" ht="14.25">
      <c r="A130" s="9" t="s">
        <v>282</v>
      </c>
      <c r="B130" s="6" t="s">
        <v>280</v>
      </c>
      <c r="C130" s="9">
        <f t="shared" si="1"/>
        <v>0</v>
      </c>
      <c r="D130" s="9">
        <v>0</v>
      </c>
      <c r="E130">
        <v>92.103151999999994</v>
      </c>
      <c r="F130">
        <v>0.88</v>
      </c>
      <c r="G130">
        <v>5.3618391967871402</v>
      </c>
      <c r="H130">
        <v>93.371407646742</v>
      </c>
      <c r="K130" s="18" t="s">
        <v>342</v>
      </c>
      <c r="L130">
        <v>-1.1871712000000001</v>
      </c>
      <c r="M130">
        <v>-1.1871712000000001</v>
      </c>
      <c r="N130">
        <v>0.77489895178752999</v>
      </c>
      <c r="O130">
        <v>0.50858333766826802</v>
      </c>
      <c r="P130" s="9">
        <v>7.7450000000000001</v>
      </c>
      <c r="Q130">
        <v>1</v>
      </c>
      <c r="R130" s="4" t="s">
        <v>7</v>
      </c>
      <c r="S130" s="4" t="s">
        <v>7</v>
      </c>
      <c r="T130" s="9" t="s">
        <v>283</v>
      </c>
    </row>
    <row r="131" spans="1:20" ht="14.25">
      <c r="A131" s="9" t="s">
        <v>284</v>
      </c>
      <c r="B131" s="6" t="s">
        <v>280</v>
      </c>
      <c r="C131" s="9">
        <f t="shared" ref="C131:C157" si="2">IF(D131="", "", IF(D131 &gt;= 1, 1, 0))</f>
        <v>0</v>
      </c>
      <c r="D131" s="9">
        <v>0</v>
      </c>
      <c r="E131">
        <v>92.064183999999997</v>
      </c>
      <c r="F131">
        <v>0.88400000000000001</v>
      </c>
      <c r="G131">
        <v>5.3357554377509997</v>
      </c>
      <c r="H131">
        <v>93.309254437869797</v>
      </c>
      <c r="K131" s="18" t="s">
        <v>342</v>
      </c>
      <c r="L131">
        <v>-1.1125164000000001</v>
      </c>
      <c r="M131">
        <v>-1.1125164000000001</v>
      </c>
      <c r="N131">
        <v>0.77390617583139298</v>
      </c>
      <c r="O131">
        <v>0.48846809320143197</v>
      </c>
      <c r="P131" s="9">
        <v>5.3250000000000002</v>
      </c>
      <c r="Q131">
        <v>-3.9</v>
      </c>
      <c r="R131" s="4" t="s">
        <v>7</v>
      </c>
      <c r="S131" s="4" t="s">
        <v>7</v>
      </c>
      <c r="T131" s="9" t="s">
        <v>285</v>
      </c>
    </row>
    <row r="132" spans="1:20" ht="14.25">
      <c r="A132" s="9" t="s">
        <v>286</v>
      </c>
      <c r="B132" s="6" t="s">
        <v>280</v>
      </c>
      <c r="C132" s="9">
        <f t="shared" si="2"/>
        <v>0</v>
      </c>
      <c r="D132" s="9">
        <v>0</v>
      </c>
      <c r="E132">
        <v>92.046608000000006</v>
      </c>
      <c r="F132">
        <v>0.88200000000000001</v>
      </c>
      <c r="G132">
        <v>5.3191064738955802</v>
      </c>
      <c r="H132">
        <v>93.308784524449194</v>
      </c>
      <c r="K132" s="18" t="s">
        <v>342</v>
      </c>
      <c r="L132">
        <v>-1.2406447</v>
      </c>
      <c r="M132">
        <v>-1.2406447</v>
      </c>
      <c r="N132">
        <v>0.77471468466503202</v>
      </c>
      <c r="O132">
        <v>0.50484994314625897</v>
      </c>
      <c r="P132" s="9">
        <v>5.27</v>
      </c>
      <c r="Q132">
        <v>-4</v>
      </c>
      <c r="R132" s="4" t="s">
        <v>7</v>
      </c>
      <c r="S132" s="4" t="s">
        <v>7</v>
      </c>
      <c r="T132" s="9" t="s">
        <v>287</v>
      </c>
    </row>
    <row r="133" spans="1:20" ht="14.25">
      <c r="A133" s="9" t="s">
        <v>288</v>
      </c>
      <c r="B133" s="6" t="s">
        <v>280</v>
      </c>
      <c r="C133" s="9">
        <f t="shared" si="2"/>
        <v>0</v>
      </c>
      <c r="D133" s="9">
        <v>0</v>
      </c>
      <c r="E133">
        <v>91.966104000000001</v>
      </c>
      <c r="F133">
        <v>0.874</v>
      </c>
      <c r="G133">
        <v>5.5942949076305197</v>
      </c>
      <c r="H133">
        <v>93.244462032085494</v>
      </c>
      <c r="K133" s="18" t="s">
        <v>342</v>
      </c>
      <c r="L133">
        <v>-1.1969353</v>
      </c>
      <c r="M133">
        <v>-1.1969353</v>
      </c>
      <c r="N133">
        <v>0.78029412819654098</v>
      </c>
      <c r="O133">
        <v>0.61577645605703102</v>
      </c>
      <c r="P133" s="9">
        <v>6.6929999999999996</v>
      </c>
      <c r="Q133">
        <v>-1.1000000000000001</v>
      </c>
      <c r="R133" s="4" t="s">
        <v>7</v>
      </c>
      <c r="S133" s="4" t="s">
        <v>7</v>
      </c>
      <c r="T133" s="9" t="s">
        <v>289</v>
      </c>
    </row>
    <row r="134" spans="1:20" ht="14.25">
      <c r="A134" s="9" t="s">
        <v>290</v>
      </c>
      <c r="B134" s="6" t="s">
        <v>280</v>
      </c>
      <c r="C134" s="9">
        <f t="shared" si="2"/>
        <v>0</v>
      </c>
      <c r="D134" s="9">
        <v>0</v>
      </c>
      <c r="E134">
        <v>91.90616</v>
      </c>
      <c r="F134">
        <v>0.88</v>
      </c>
      <c r="G134">
        <v>5.3688004176706796</v>
      </c>
      <c r="H134">
        <v>93.121100478468904</v>
      </c>
      <c r="K134" s="18" t="s">
        <v>342</v>
      </c>
      <c r="L134">
        <v>-1.2004652</v>
      </c>
      <c r="M134">
        <v>-1.2004652</v>
      </c>
      <c r="N134">
        <v>0.78329181515194102</v>
      </c>
      <c r="O134">
        <v>0.67142700419433499</v>
      </c>
      <c r="P134" s="9">
        <v>6.6529999999999996</v>
      </c>
      <c r="Q134">
        <v>-1.1000000000000001</v>
      </c>
      <c r="R134" s="4" t="s">
        <v>7</v>
      </c>
      <c r="S134" s="4" t="s">
        <v>7</v>
      </c>
      <c r="T134" s="9" t="s">
        <v>291</v>
      </c>
    </row>
    <row r="135" spans="1:20" s="11" customFormat="1" ht="14.25">
      <c r="A135" s="11" t="s">
        <v>292</v>
      </c>
      <c r="B135" s="11" t="s">
        <v>228</v>
      </c>
      <c r="C135" s="11">
        <f t="shared" si="2"/>
        <v>0</v>
      </c>
      <c r="D135" s="11">
        <v>0</v>
      </c>
      <c r="E135" s="11">
        <v>87.132983870967706</v>
      </c>
      <c r="F135" s="11">
        <v>0.67400000000000004</v>
      </c>
      <c r="G135" s="11">
        <v>11.1146815658874</v>
      </c>
      <c r="H135" s="11">
        <v>88.475130155329396</v>
      </c>
      <c r="K135" s="16" t="s">
        <v>342</v>
      </c>
      <c r="L135" s="11">
        <v>-1.2600690000000001</v>
      </c>
      <c r="M135" s="11">
        <v>-1.2600690000000001</v>
      </c>
      <c r="N135" s="11">
        <v>0.76981020234606701</v>
      </c>
      <c r="O135" s="11">
        <v>0.406573742019324</v>
      </c>
      <c r="P135" s="11">
        <v>5.508</v>
      </c>
      <c r="Q135">
        <v>-3.9</v>
      </c>
      <c r="R135" s="12">
        <v>1.147</v>
      </c>
      <c r="S135" s="12">
        <v>7.3999999999999996E-2</v>
      </c>
      <c r="T135" s="11" t="s">
        <v>293</v>
      </c>
    </row>
    <row r="136" spans="1:20" ht="14.25">
      <c r="A136" s="9" t="s">
        <v>294</v>
      </c>
      <c r="B136" s="6" t="s">
        <v>228</v>
      </c>
      <c r="C136" s="9">
        <f t="shared" si="2"/>
        <v>1</v>
      </c>
      <c r="D136" s="9">
        <v>1</v>
      </c>
      <c r="E136">
        <v>90.655766129032202</v>
      </c>
      <c r="F136">
        <v>0.85399999999999898</v>
      </c>
      <c r="G136">
        <v>6.3390695442079101</v>
      </c>
      <c r="H136">
        <v>92.114895633652793</v>
      </c>
      <c r="K136" s="18" t="s">
        <v>342</v>
      </c>
      <c r="L136">
        <v>-1.2666341999999999</v>
      </c>
      <c r="M136">
        <v>-1.2666341999999999</v>
      </c>
      <c r="N136">
        <v>0.77568245124609903</v>
      </c>
      <c r="O136">
        <v>0.52444192830902103</v>
      </c>
      <c r="P136" s="9">
        <v>7.6340000000000003</v>
      </c>
      <c r="Q136">
        <v>1</v>
      </c>
      <c r="R136" s="5">
        <v>2.2709999999999999</v>
      </c>
      <c r="S136" s="10">
        <v>0.51</v>
      </c>
      <c r="T136" s="9" t="s">
        <v>295</v>
      </c>
    </row>
    <row r="137" spans="1:20" ht="14.25">
      <c r="A137" s="9" t="s">
        <v>296</v>
      </c>
      <c r="B137" s="6" t="s">
        <v>228</v>
      </c>
      <c r="C137" s="9">
        <f t="shared" si="2"/>
        <v>0</v>
      </c>
      <c r="D137" s="9">
        <v>0</v>
      </c>
      <c r="E137">
        <v>90.583959677419301</v>
      </c>
      <c r="F137">
        <v>0.84399999999999997</v>
      </c>
      <c r="G137">
        <v>6.5131432675982701</v>
      </c>
      <c r="H137">
        <v>92.000985661178902</v>
      </c>
      <c r="K137" s="18" t="s">
        <v>342</v>
      </c>
      <c r="L137">
        <v>-1.2302565999999999</v>
      </c>
      <c r="M137">
        <v>-1.2302565999999999</v>
      </c>
      <c r="N137">
        <v>0.78190423529837205</v>
      </c>
      <c r="O137">
        <v>0.64615299856208097</v>
      </c>
      <c r="P137" s="9">
        <v>5.36</v>
      </c>
      <c r="Q137">
        <v>-4</v>
      </c>
      <c r="R137" s="5">
        <v>1.07</v>
      </c>
      <c r="S137" s="10">
        <v>7.2999999999999995E-2</v>
      </c>
      <c r="T137" s="9" t="s">
        <v>297</v>
      </c>
    </row>
    <row r="138" spans="1:20" ht="14.25">
      <c r="A138" s="9" t="s">
        <v>298</v>
      </c>
      <c r="B138" s="6" t="s">
        <v>228</v>
      </c>
      <c r="C138" s="9">
        <f t="shared" si="2"/>
        <v>0</v>
      </c>
      <c r="D138" s="9">
        <v>0</v>
      </c>
      <c r="E138">
        <v>90.4896854838709</v>
      </c>
      <c r="F138">
        <v>0.85</v>
      </c>
      <c r="G138">
        <v>6.4649791367376199</v>
      </c>
      <c r="H138">
        <v>91.974792937399599</v>
      </c>
      <c r="K138" s="18" t="s">
        <v>342</v>
      </c>
      <c r="L138">
        <v>-1.3248211000000001</v>
      </c>
      <c r="M138">
        <v>-1.3248211000000001</v>
      </c>
      <c r="N138">
        <v>0.778744049774026</v>
      </c>
      <c r="O138">
        <v>0.58565042387757404</v>
      </c>
      <c r="P138" s="9">
        <v>5.258</v>
      </c>
      <c r="Q138">
        <v>-4</v>
      </c>
      <c r="R138" s="5">
        <v>0.86799999999999999</v>
      </c>
      <c r="S138" s="10">
        <v>0.124</v>
      </c>
      <c r="T138" s="9" t="s">
        <v>299</v>
      </c>
    </row>
    <row r="139" spans="1:20" ht="14.25">
      <c r="A139" s="9" t="s">
        <v>300</v>
      </c>
      <c r="B139" s="6" t="s">
        <v>228</v>
      </c>
      <c r="C139" s="9">
        <f t="shared" si="2"/>
        <v>0</v>
      </c>
      <c r="D139" s="9">
        <v>0</v>
      </c>
      <c r="E139">
        <v>90.5101612903225</v>
      </c>
      <c r="F139">
        <v>0.84799999999999998</v>
      </c>
      <c r="G139">
        <v>6.4463139937312199</v>
      </c>
      <c r="H139">
        <v>91.971411953041596</v>
      </c>
      <c r="K139" s="18" t="s">
        <v>342</v>
      </c>
      <c r="L139">
        <v>-1.301507</v>
      </c>
      <c r="M139">
        <v>-1.301507</v>
      </c>
      <c r="N139">
        <v>0.777960241876963</v>
      </c>
      <c r="O139">
        <v>0.57015389886008905</v>
      </c>
      <c r="P139" s="9">
        <v>5.093</v>
      </c>
      <c r="Q139">
        <v>-4.9000000000000004</v>
      </c>
      <c r="R139" s="5">
        <v>1.321</v>
      </c>
      <c r="S139" s="10">
        <v>7.3999999999999996E-2</v>
      </c>
      <c r="T139" s="9" t="s">
        <v>301</v>
      </c>
    </row>
    <row r="140" spans="1:20" s="11" customFormat="1" ht="14.25">
      <c r="A140" s="11" t="s">
        <v>302</v>
      </c>
      <c r="B140" s="11" t="s">
        <v>303</v>
      </c>
      <c r="C140" s="11">
        <f t="shared" si="2"/>
        <v>0</v>
      </c>
      <c r="D140" s="11">
        <v>0</v>
      </c>
      <c r="E140" s="11">
        <v>89.295629629629602</v>
      </c>
      <c r="F140" s="11">
        <v>0.78400000000000003</v>
      </c>
      <c r="G140" s="11">
        <v>8.3344220317654596</v>
      </c>
      <c r="H140" s="11">
        <v>90.623542888765897</v>
      </c>
      <c r="K140" s="16" t="s">
        <v>342</v>
      </c>
      <c r="L140" s="11">
        <v>-1.20461</v>
      </c>
      <c r="M140" s="11">
        <v>-1.20461</v>
      </c>
      <c r="N140" s="11">
        <v>0.77016462400528496</v>
      </c>
      <c r="O140" s="11">
        <v>0.41352334561084603</v>
      </c>
      <c r="P140" s="11">
        <v>5.2510000000000003</v>
      </c>
      <c r="Q140">
        <v>-4.9000000000000004</v>
      </c>
      <c r="R140" s="12">
        <v>1.3680000000000001</v>
      </c>
      <c r="S140" s="12">
        <v>0.153</v>
      </c>
      <c r="T140" s="11" t="s">
        <v>304</v>
      </c>
    </row>
    <row r="141" spans="1:20" ht="14.25">
      <c r="A141" s="9" t="s">
        <v>305</v>
      </c>
      <c r="B141" s="6" t="s">
        <v>303</v>
      </c>
      <c r="C141" s="9">
        <f t="shared" si="2"/>
        <v>1</v>
      </c>
      <c r="D141" s="9">
        <v>1</v>
      </c>
      <c r="E141">
        <v>91.369547325102801</v>
      </c>
      <c r="F141">
        <v>0.86799999999999999</v>
      </c>
      <c r="G141">
        <v>5.8922924191409001</v>
      </c>
      <c r="H141">
        <v>92.625431253451097</v>
      </c>
      <c r="K141" s="18" t="s">
        <v>342</v>
      </c>
      <c r="L141">
        <v>-1.1646080000000001</v>
      </c>
      <c r="M141">
        <v>-1.1646080000000001</v>
      </c>
      <c r="N141">
        <v>0.77865831150442399</v>
      </c>
      <c r="O141">
        <v>0.58396296445973805</v>
      </c>
      <c r="P141" s="9">
        <v>6.742</v>
      </c>
      <c r="Q141">
        <v>-1</v>
      </c>
      <c r="R141" s="5">
        <v>4.157</v>
      </c>
      <c r="S141" s="10">
        <v>1.107</v>
      </c>
      <c r="T141" s="9" t="s">
        <v>306</v>
      </c>
    </row>
    <row r="142" spans="1:20" ht="14.25">
      <c r="A142" s="9" t="s">
        <v>307</v>
      </c>
      <c r="B142" s="6" t="s">
        <v>303</v>
      </c>
      <c r="C142" s="9">
        <f t="shared" si="2"/>
        <v>1</v>
      </c>
      <c r="D142" s="9">
        <v>1</v>
      </c>
      <c r="E142">
        <v>90.8636296296296</v>
      </c>
      <c r="F142">
        <v>0.85199999999999998</v>
      </c>
      <c r="G142">
        <v>6.3968628371254601</v>
      </c>
      <c r="H142">
        <v>92.136327491785295</v>
      </c>
      <c r="K142" s="18" t="s">
        <v>342</v>
      </c>
      <c r="L142">
        <v>-1.224947</v>
      </c>
      <c r="M142">
        <v>-1.224947</v>
      </c>
      <c r="N142">
        <v>0.78237461436289901</v>
      </c>
      <c r="O142">
        <v>0.65482121149781902</v>
      </c>
      <c r="P142" s="9">
        <v>5.0410000000000004</v>
      </c>
      <c r="Q142">
        <v>-6</v>
      </c>
      <c r="R142" s="5">
        <v>2.899</v>
      </c>
      <c r="S142" s="10">
        <v>1.014</v>
      </c>
      <c r="T142" s="9" t="s">
        <v>308</v>
      </c>
    </row>
    <row r="143" spans="1:20" ht="14.25">
      <c r="A143" s="9" t="s">
        <v>309</v>
      </c>
      <c r="B143" s="6" t="s">
        <v>303</v>
      </c>
      <c r="C143" s="9">
        <f t="shared" si="2"/>
        <v>1</v>
      </c>
      <c r="D143" s="9">
        <v>1</v>
      </c>
      <c r="E143">
        <v>90.839662551440298</v>
      </c>
      <c r="F143">
        <v>0.86199999999999899</v>
      </c>
      <c r="G143">
        <v>6.1257906336088102</v>
      </c>
      <c r="H143">
        <v>92.103685073810794</v>
      </c>
      <c r="K143" s="18" t="s">
        <v>342</v>
      </c>
      <c r="L143">
        <v>-1.1649935</v>
      </c>
      <c r="M143">
        <v>-1.1649935</v>
      </c>
      <c r="N143">
        <v>0.78481677400876804</v>
      </c>
      <c r="O143">
        <v>0.69809789812586198</v>
      </c>
      <c r="P143" s="9">
        <v>5.1849999999999996</v>
      </c>
      <c r="Q143">
        <v>-5.0999999999999996</v>
      </c>
      <c r="R143" s="5">
        <v>2.8929999999999998</v>
      </c>
      <c r="S143" s="10">
        <v>0.73099999999999998</v>
      </c>
      <c r="T143" s="9" t="s">
        <v>310</v>
      </c>
    </row>
    <row r="144" spans="1:20" ht="14.25">
      <c r="A144" s="9" t="s">
        <v>311</v>
      </c>
      <c r="B144" s="6" t="s">
        <v>303</v>
      </c>
      <c r="C144" s="9">
        <f t="shared" si="2"/>
        <v>1</v>
      </c>
      <c r="D144" s="9">
        <v>2</v>
      </c>
      <c r="E144">
        <v>90.5085185185185</v>
      </c>
      <c r="F144">
        <v>0.84799999999999998</v>
      </c>
      <c r="G144">
        <v>6.5707212189232296</v>
      </c>
      <c r="H144">
        <v>91.823086862106393</v>
      </c>
      <c r="K144" s="18" t="s">
        <v>342</v>
      </c>
      <c r="L144">
        <v>-1.2531601000000001</v>
      </c>
      <c r="M144">
        <v>-1.2531601000000001</v>
      </c>
      <c r="N144">
        <v>0.78826823331937601</v>
      </c>
      <c r="O144">
        <v>0.75362224307605696</v>
      </c>
      <c r="P144" s="9">
        <v>5.4210000000000003</v>
      </c>
      <c r="Q144">
        <v>-4.0999999999999996</v>
      </c>
      <c r="R144" s="5">
        <v>3.4510000000000001</v>
      </c>
      <c r="S144" s="10">
        <v>0.78900000000000003</v>
      </c>
      <c r="T144" s="9" t="s">
        <v>312</v>
      </c>
    </row>
    <row r="145" spans="1:20" ht="14.25">
      <c r="A145" s="9" t="s">
        <v>313</v>
      </c>
      <c r="B145" s="6" t="s">
        <v>303</v>
      </c>
      <c r="C145" s="9">
        <f t="shared" si="2"/>
        <v>1</v>
      </c>
      <c r="D145" s="9">
        <v>2</v>
      </c>
      <c r="E145">
        <v>90.288263374485595</v>
      </c>
      <c r="F145">
        <v>0.83199999999999996</v>
      </c>
      <c r="G145">
        <v>7.1930569329660203</v>
      </c>
      <c r="H145">
        <v>91.616210468319494</v>
      </c>
      <c r="K145" s="18" t="s">
        <v>342</v>
      </c>
      <c r="L145">
        <v>-1.1986114000000001</v>
      </c>
      <c r="M145">
        <v>-1.1986114000000001</v>
      </c>
      <c r="N145">
        <v>0.78009399014289404</v>
      </c>
      <c r="O145">
        <v>0.61193106891604399</v>
      </c>
      <c r="P145" s="9">
        <v>5.5119999999999996</v>
      </c>
      <c r="Q145">
        <v>-3</v>
      </c>
      <c r="R145" s="5">
        <v>4.3609999999999998</v>
      </c>
      <c r="S145" s="10">
        <v>1.8149999999999999</v>
      </c>
      <c r="T145" s="9" t="s">
        <v>314</v>
      </c>
    </row>
    <row r="146" spans="1:20" s="11" customFormat="1" ht="14.25">
      <c r="A146" s="11" t="s">
        <v>315</v>
      </c>
      <c r="B146" s="11" t="s">
        <v>316</v>
      </c>
      <c r="C146" s="11">
        <f t="shared" si="2"/>
        <v>0</v>
      </c>
      <c r="D146" s="11">
        <v>0</v>
      </c>
      <c r="E146" s="11">
        <v>88.310090534979395</v>
      </c>
      <c r="F146" s="11">
        <v>0.77400000000000002</v>
      </c>
      <c r="G146" s="11">
        <v>8.9034693058531396</v>
      </c>
      <c r="H146" s="11">
        <v>89.553744751381203</v>
      </c>
      <c r="K146" s="16" t="s">
        <v>342</v>
      </c>
      <c r="L146" s="11">
        <v>-1.1969774</v>
      </c>
      <c r="M146" s="11">
        <v>-1.1969774</v>
      </c>
      <c r="N146" s="11">
        <v>0.76410746599880297</v>
      </c>
      <c r="O146" s="11">
        <v>0.30145041754215701</v>
      </c>
      <c r="P146" s="11">
        <v>8.8450000000000006</v>
      </c>
      <c r="Q146">
        <v>3.1</v>
      </c>
      <c r="R146" s="12" t="s">
        <v>7</v>
      </c>
      <c r="S146" s="12" t="s">
        <v>7</v>
      </c>
      <c r="T146" s="11" t="s">
        <v>317</v>
      </c>
    </row>
    <row r="147" spans="1:20" ht="14.25">
      <c r="A147" s="9" t="s">
        <v>318</v>
      </c>
      <c r="B147" s="6" t="s">
        <v>316</v>
      </c>
      <c r="C147" s="9">
        <f t="shared" si="2"/>
        <v>0</v>
      </c>
      <c r="D147" s="9">
        <v>0</v>
      </c>
      <c r="E147">
        <v>91.350683127571997</v>
      </c>
      <c r="F147">
        <v>0.869999999999999</v>
      </c>
      <c r="G147">
        <v>5.6910865898037599</v>
      </c>
      <c r="H147">
        <v>92.510865968008801</v>
      </c>
      <c r="K147" s="18" t="s">
        <v>342</v>
      </c>
      <c r="L147">
        <v>-1.1533675000000001</v>
      </c>
      <c r="M147">
        <v>-1.1533675000000001</v>
      </c>
      <c r="N147">
        <v>0.77424953409860697</v>
      </c>
      <c r="O147">
        <v>0.49542416773250397</v>
      </c>
      <c r="P147" s="9">
        <v>5.3719999999999999</v>
      </c>
      <c r="Q147">
        <v>-3</v>
      </c>
      <c r="R147" s="4" t="s">
        <v>7</v>
      </c>
      <c r="S147" s="4" t="s">
        <v>7</v>
      </c>
      <c r="T147" s="9" t="s">
        <v>319</v>
      </c>
    </row>
    <row r="148" spans="1:20" ht="14.25">
      <c r="A148" s="9" t="s">
        <v>320</v>
      </c>
      <c r="B148" s="6" t="s">
        <v>316</v>
      </c>
      <c r="C148" s="9">
        <f t="shared" si="2"/>
        <v>0</v>
      </c>
      <c r="D148" s="9">
        <v>0</v>
      </c>
      <c r="E148">
        <v>91.315423868312706</v>
      </c>
      <c r="F148">
        <v>0.86599999999999999</v>
      </c>
      <c r="G148">
        <v>5.9619553106825798</v>
      </c>
      <c r="H148">
        <v>92.491523862375104</v>
      </c>
      <c r="K148" s="18" t="s">
        <v>342</v>
      </c>
      <c r="L148">
        <v>-1.0636865</v>
      </c>
      <c r="M148">
        <v>-1.0636865</v>
      </c>
      <c r="N148">
        <v>0.76932314738143404</v>
      </c>
      <c r="O148">
        <v>0.39708463469368299</v>
      </c>
      <c r="P148" s="9">
        <v>5.4720000000000004</v>
      </c>
      <c r="Q148">
        <v>-2.9</v>
      </c>
      <c r="R148" s="4" t="s">
        <v>7</v>
      </c>
      <c r="S148" s="4" t="s">
        <v>7</v>
      </c>
      <c r="T148" s="9" t="s">
        <v>321</v>
      </c>
    </row>
    <row r="149" spans="1:20" ht="14.25">
      <c r="A149" s="9" t="s">
        <v>322</v>
      </c>
      <c r="B149" s="6" t="s">
        <v>316</v>
      </c>
      <c r="C149" s="9">
        <f t="shared" si="2"/>
        <v>0</v>
      </c>
      <c r="D149" s="9">
        <v>0</v>
      </c>
      <c r="E149">
        <v>91.206279835390902</v>
      </c>
      <c r="F149">
        <v>0.872</v>
      </c>
      <c r="G149">
        <v>5.7911316872427898</v>
      </c>
      <c r="H149">
        <v>92.414341008771899</v>
      </c>
      <c r="K149" s="18" t="s">
        <v>342</v>
      </c>
      <c r="L149">
        <v>-1.1613150000000001</v>
      </c>
      <c r="M149">
        <v>-1.1613150000000001</v>
      </c>
      <c r="N149">
        <v>0.774397441982556</v>
      </c>
      <c r="O149">
        <v>0.49842132823743002</v>
      </c>
      <c r="P149" s="9">
        <v>5.9029999999999996</v>
      </c>
      <c r="Q149">
        <v>-1.9</v>
      </c>
      <c r="R149" s="4" t="s">
        <v>7</v>
      </c>
      <c r="S149" s="4" t="s">
        <v>7</v>
      </c>
      <c r="T149" s="9" t="s">
        <v>323</v>
      </c>
    </row>
    <row r="150" spans="1:20" ht="14.25">
      <c r="A150" s="9" t="s">
        <v>324</v>
      </c>
      <c r="B150" s="6" t="s">
        <v>316</v>
      </c>
      <c r="C150" s="9">
        <f t="shared" si="2"/>
        <v>0</v>
      </c>
      <c r="D150" s="9">
        <v>0</v>
      </c>
      <c r="E150">
        <v>91.114732510287993</v>
      </c>
      <c r="F150">
        <v>0.86599999999999999</v>
      </c>
      <c r="G150">
        <v>5.9245096078631398</v>
      </c>
      <c r="H150">
        <v>92.341244444444399</v>
      </c>
      <c r="K150" s="18" t="s">
        <v>342</v>
      </c>
      <c r="L150">
        <v>-1.1652814</v>
      </c>
      <c r="M150">
        <v>-1.1652814</v>
      </c>
      <c r="N150">
        <v>0.77228437761477697</v>
      </c>
      <c r="O150">
        <v>0.45571740641047798</v>
      </c>
      <c r="P150" s="9">
        <v>5.9489999999999998</v>
      </c>
      <c r="Q150">
        <v>-1.9</v>
      </c>
      <c r="R150" s="4" t="s">
        <v>7</v>
      </c>
      <c r="S150" s="4" t="s">
        <v>7</v>
      </c>
      <c r="T150" s="9" t="s">
        <v>325</v>
      </c>
    </row>
    <row r="151" spans="1:20" ht="14.25">
      <c r="A151" s="9" t="s">
        <v>326</v>
      </c>
      <c r="B151" s="6" t="s">
        <v>316</v>
      </c>
      <c r="C151" s="9">
        <f t="shared" si="2"/>
        <v>0</v>
      </c>
      <c r="D151" s="9">
        <v>0</v>
      </c>
      <c r="E151">
        <v>91.065111111111094</v>
      </c>
      <c r="F151">
        <v>0.85799999999999998</v>
      </c>
      <c r="G151">
        <v>6.2447597183960797</v>
      </c>
      <c r="H151">
        <v>92.330041919470403</v>
      </c>
      <c r="K151" s="18" t="s">
        <v>342</v>
      </c>
      <c r="L151">
        <v>-1.1613077999999999</v>
      </c>
      <c r="M151">
        <v>-1.1613077999999999</v>
      </c>
      <c r="N151">
        <v>0.77123537204623904</v>
      </c>
      <c r="O151">
        <v>0.43471826724788698</v>
      </c>
      <c r="P151" s="9">
        <v>5.7060000000000004</v>
      </c>
      <c r="Q151">
        <v>-2.9</v>
      </c>
      <c r="R151" s="4" t="s">
        <v>7</v>
      </c>
      <c r="S151" s="4" t="s">
        <v>7</v>
      </c>
      <c r="T151" s="9" t="s">
        <v>327</v>
      </c>
    </row>
    <row r="152" spans="1:20" s="11" customFormat="1" ht="14.25">
      <c r="A152" s="11" t="s">
        <v>328</v>
      </c>
      <c r="B152" s="11" t="s">
        <v>329</v>
      </c>
      <c r="C152" s="11">
        <f t="shared" si="2"/>
        <v>0</v>
      </c>
      <c r="D152" s="11">
        <v>0</v>
      </c>
      <c r="E152" s="11">
        <v>89.892088709677395</v>
      </c>
      <c r="F152" s="11">
        <v>0.85399999999999898</v>
      </c>
      <c r="G152" s="11">
        <v>6.6517400091419603</v>
      </c>
      <c r="H152" s="11">
        <v>91.066818763326197</v>
      </c>
      <c r="K152" s="16" t="s">
        <v>342</v>
      </c>
      <c r="L152" s="11">
        <v>-1.1676636</v>
      </c>
      <c r="M152" s="11">
        <v>-1.1676636</v>
      </c>
      <c r="N152" s="11">
        <v>0.76762844613446102</v>
      </c>
      <c r="O152" s="11">
        <v>0.36470592676685498</v>
      </c>
      <c r="P152" s="11">
        <v>7.6630000000000003</v>
      </c>
      <c r="Q152">
        <v>0</v>
      </c>
      <c r="R152" s="12">
        <v>1.1919999999999999</v>
      </c>
      <c r="S152" s="12">
        <v>8.6999999999999994E-2</v>
      </c>
      <c r="T152" s="11" t="s">
        <v>330</v>
      </c>
    </row>
    <row r="153" spans="1:20" ht="14.25">
      <c r="A153" s="9" t="s">
        <v>331</v>
      </c>
      <c r="B153" s="6" t="s">
        <v>329</v>
      </c>
      <c r="C153" s="9">
        <f t="shared" si="2"/>
        <v>1</v>
      </c>
      <c r="D153" s="9">
        <v>2</v>
      </c>
      <c r="E153">
        <v>91.602096774193498</v>
      </c>
      <c r="F153">
        <v>0.88800000000000001</v>
      </c>
      <c r="G153">
        <v>5.4372869269948998</v>
      </c>
      <c r="H153">
        <v>92.768472237196704</v>
      </c>
      <c r="K153" s="18" t="s">
        <v>342</v>
      </c>
      <c r="L153">
        <v>-1.1220322</v>
      </c>
      <c r="M153">
        <v>-1.1220322</v>
      </c>
      <c r="N153">
        <v>0.77489086438778398</v>
      </c>
      <c r="O153">
        <v>0.50841949773463202</v>
      </c>
      <c r="P153" s="9">
        <v>7.4050000000000002</v>
      </c>
      <c r="Q153">
        <v>-1</v>
      </c>
      <c r="R153" s="5">
        <v>2.1080000000000001</v>
      </c>
      <c r="S153" s="10">
        <v>0.247</v>
      </c>
      <c r="T153" s="9" t="s">
        <v>332</v>
      </c>
    </row>
    <row r="154" spans="1:20" ht="14.25">
      <c r="A154" s="9" t="s">
        <v>333</v>
      </c>
      <c r="B154" s="6" t="s">
        <v>329</v>
      </c>
      <c r="C154" s="9">
        <f t="shared" si="2"/>
        <v>1</v>
      </c>
      <c r="D154" s="9">
        <v>1</v>
      </c>
      <c r="E154">
        <v>91.498209677419297</v>
      </c>
      <c r="F154">
        <v>0.88599999999999901</v>
      </c>
      <c r="G154">
        <v>5.5001512994645401</v>
      </c>
      <c r="H154">
        <v>92.679243733333294</v>
      </c>
      <c r="K154" s="18" t="s">
        <v>342</v>
      </c>
      <c r="L154">
        <v>-1.1515937999999999</v>
      </c>
      <c r="M154">
        <v>-1.1515937999999999</v>
      </c>
      <c r="N154">
        <v>0.77538734221365402</v>
      </c>
      <c r="O154">
        <v>0.51847276913946705</v>
      </c>
      <c r="P154" s="9">
        <v>8.8230000000000004</v>
      </c>
      <c r="Q154">
        <v>1.9</v>
      </c>
      <c r="R154" s="5">
        <v>1.7110000000000001</v>
      </c>
      <c r="S154" s="10">
        <v>0.14199999999999999</v>
      </c>
      <c r="T154" s="9" t="s">
        <v>334</v>
      </c>
    </row>
    <row r="155" spans="1:20" ht="14.25">
      <c r="A155" s="9" t="s">
        <v>335</v>
      </c>
      <c r="B155" s="6" t="s">
        <v>329</v>
      </c>
      <c r="C155" s="9">
        <f t="shared" si="2"/>
        <v>1</v>
      </c>
      <c r="D155" s="9">
        <v>1</v>
      </c>
      <c r="E155">
        <v>91.483137096774101</v>
      </c>
      <c r="F155">
        <v>0.88800000000000001</v>
      </c>
      <c r="G155">
        <v>5.4712679900744403</v>
      </c>
      <c r="H155">
        <v>92.719398296059595</v>
      </c>
      <c r="K155" s="18" t="s">
        <v>342</v>
      </c>
      <c r="L155">
        <v>-1.2428585999999999</v>
      </c>
      <c r="M155">
        <v>-1.2428585999999999</v>
      </c>
      <c r="N155">
        <v>0.77563627528120305</v>
      </c>
      <c r="O155">
        <v>0.52350834605492003</v>
      </c>
      <c r="P155" s="9">
        <v>8.6549999999999994</v>
      </c>
      <c r="Q155">
        <v>1</v>
      </c>
      <c r="R155" s="5">
        <v>1.534</v>
      </c>
      <c r="S155" s="10">
        <v>0.112</v>
      </c>
      <c r="T155" s="9" t="s">
        <v>336</v>
      </c>
    </row>
    <row r="156" spans="1:20" ht="14.25">
      <c r="A156" s="9" t="s">
        <v>337</v>
      </c>
      <c r="B156" s="6" t="s">
        <v>329</v>
      </c>
      <c r="C156" s="9">
        <f t="shared" si="2"/>
        <v>0</v>
      </c>
      <c r="D156" s="9">
        <v>0</v>
      </c>
      <c r="E156">
        <v>91.502048387096707</v>
      </c>
      <c r="F156">
        <v>0.88599999999999901</v>
      </c>
      <c r="G156">
        <v>5.4970536763745503</v>
      </c>
      <c r="H156">
        <v>92.642261853448204</v>
      </c>
      <c r="K156" s="18" t="s">
        <v>342</v>
      </c>
      <c r="L156">
        <v>-1.1766577</v>
      </c>
      <c r="M156">
        <v>-1.1766577</v>
      </c>
      <c r="N156">
        <v>0.77511794751136098</v>
      </c>
      <c r="O156">
        <v>0.513019081843613</v>
      </c>
      <c r="P156" s="9">
        <v>8.2270000000000003</v>
      </c>
      <c r="Q156">
        <v>0</v>
      </c>
      <c r="R156" s="5">
        <v>1.159</v>
      </c>
      <c r="S156" s="10">
        <v>0.247</v>
      </c>
      <c r="T156" s="9" t="s">
        <v>338</v>
      </c>
    </row>
    <row r="157" spans="1:20" ht="14.25">
      <c r="A157" s="9" t="s">
        <v>339</v>
      </c>
      <c r="B157" s="6" t="s">
        <v>329</v>
      </c>
      <c r="C157" s="9">
        <f t="shared" si="2"/>
        <v>0</v>
      </c>
      <c r="D157" s="9">
        <v>0</v>
      </c>
      <c r="E157">
        <v>91.405338709677395</v>
      </c>
      <c r="F157">
        <v>0.88400000000000001</v>
      </c>
      <c r="G157">
        <v>5.5945461016063698</v>
      </c>
      <c r="H157">
        <v>92.597960470085397</v>
      </c>
      <c r="K157" s="18" t="s">
        <v>342</v>
      </c>
      <c r="L157">
        <v>-1.1492975999999999</v>
      </c>
      <c r="M157">
        <v>-1.1492975999999999</v>
      </c>
      <c r="N157">
        <v>0.77429156866029702</v>
      </c>
      <c r="O157">
        <v>0.49627591927270398</v>
      </c>
      <c r="P157" s="9">
        <v>8.6739999999999995</v>
      </c>
      <c r="Q157">
        <v>1</v>
      </c>
      <c r="R157" s="5">
        <v>1.2190000000000001</v>
      </c>
      <c r="S157" s="10">
        <v>7.8E-2</v>
      </c>
      <c r="T157" s="9" t="s">
        <v>340</v>
      </c>
    </row>
    <row r="158" spans="1:20" ht="14.25">
      <c r="A158" s="7"/>
      <c r="B158" s="7"/>
      <c r="C158" s="7"/>
      <c r="D158" s="7"/>
      <c r="P158" s="21"/>
      <c r="R158" s="5"/>
      <c r="S158" s="5"/>
      <c r="T158" s="7"/>
    </row>
    <row r="159" spans="1:20" ht="14.25">
      <c r="A159" s="7"/>
      <c r="B159" s="7"/>
      <c r="C159" s="7"/>
      <c r="D159" s="7"/>
      <c r="P159" s="21"/>
      <c r="R159" s="5"/>
      <c r="S159" s="5"/>
      <c r="T159" s="7"/>
    </row>
    <row r="160" spans="1:20" ht="14.25">
      <c r="A160" s="7"/>
      <c r="B160" s="7"/>
      <c r="C160" s="7"/>
      <c r="D160" s="7"/>
      <c r="P160" s="21"/>
      <c r="R160" s="5"/>
      <c r="S160" s="5"/>
      <c r="T160" s="7"/>
    </row>
    <row r="161" spans="1:20" ht="14.25">
      <c r="A161" s="7"/>
      <c r="B161" s="7"/>
      <c r="C161" s="7"/>
      <c r="D161" s="7"/>
      <c r="P161" s="21"/>
      <c r="R161" s="5"/>
      <c r="S161" s="5"/>
      <c r="T161" s="7"/>
    </row>
    <row r="162" spans="1:20" ht="14.25">
      <c r="A162" s="7"/>
      <c r="B162" s="7"/>
      <c r="C162" s="7"/>
      <c r="D162" s="7"/>
      <c r="P162" s="21"/>
      <c r="R162" s="5"/>
      <c r="S162" s="5"/>
      <c r="T162" s="7"/>
    </row>
    <row r="163" spans="1:20" ht="14.25">
      <c r="A163" s="7"/>
      <c r="B163" s="7"/>
      <c r="C163" s="7"/>
      <c r="D163" s="7"/>
      <c r="P163" s="21"/>
      <c r="R163" s="5"/>
      <c r="S163" s="5"/>
      <c r="T163" s="7"/>
    </row>
    <row r="164" spans="1:20" ht="14.25">
      <c r="A164" s="7"/>
      <c r="B164" s="7"/>
      <c r="C164" s="7"/>
      <c r="D164" s="7"/>
      <c r="P164" s="21"/>
      <c r="R164" s="5"/>
      <c r="S164" s="5"/>
      <c r="T164" s="7"/>
    </row>
    <row r="165" spans="1:20" ht="14.25">
      <c r="A165" s="7"/>
      <c r="B165" s="7"/>
      <c r="C165" s="7"/>
      <c r="D165" s="7"/>
      <c r="P165" s="21"/>
      <c r="R165" s="5"/>
      <c r="S165" s="5"/>
      <c r="T165" s="7"/>
    </row>
    <row r="166" spans="1:20" ht="14.25">
      <c r="A166" s="7"/>
      <c r="B166" s="7"/>
      <c r="C166" s="7"/>
      <c r="D166" s="7"/>
      <c r="P166" s="21"/>
      <c r="R166" s="5"/>
      <c r="S166" s="5"/>
      <c r="T166" s="7"/>
    </row>
    <row r="167" spans="1:20" ht="14.25">
      <c r="A167" s="7"/>
      <c r="B167" s="7"/>
      <c r="C167" s="7"/>
      <c r="D167" s="7"/>
      <c r="P167" s="21"/>
      <c r="R167" s="5"/>
      <c r="S167" s="5"/>
      <c r="T167" s="7"/>
    </row>
    <row r="168" spans="1:20" ht="14.25">
      <c r="A168" s="7"/>
      <c r="B168" s="7"/>
      <c r="C168" s="7"/>
      <c r="D168" s="7"/>
      <c r="P168" s="21"/>
      <c r="R168" s="5"/>
      <c r="S168" s="5"/>
      <c r="T168" s="7"/>
    </row>
    <row r="169" spans="1:20" ht="14.25">
      <c r="A169" s="7"/>
      <c r="B169" s="7"/>
      <c r="C169" s="7"/>
      <c r="D169" s="7"/>
      <c r="P169" s="21"/>
      <c r="R169" s="5"/>
      <c r="S169" s="5"/>
      <c r="T169" s="7"/>
    </row>
    <row r="170" spans="1:20" ht="14.25">
      <c r="A170" s="7"/>
      <c r="B170" s="7"/>
      <c r="C170" s="7"/>
      <c r="D170" s="7"/>
      <c r="P170" s="21"/>
      <c r="R170" s="5"/>
      <c r="S170" s="5"/>
      <c r="T170" s="7"/>
    </row>
    <row r="171" spans="1:20" ht="14.25">
      <c r="A171" s="7" t="s">
        <v>341</v>
      </c>
      <c r="B171" s="7"/>
      <c r="C171" s="7"/>
      <c r="D171" s="7"/>
      <c r="P171" s="21"/>
      <c r="R171" s="5"/>
      <c r="S171" s="5"/>
      <c r="T171" s="7"/>
    </row>
    <row r="172" spans="1:20" ht="14.25">
      <c r="A172" s="7"/>
      <c r="B172" s="7"/>
      <c r="C172" s="7"/>
      <c r="D172" s="7"/>
      <c r="P172" s="21"/>
      <c r="R172" s="5"/>
      <c r="S172" s="5"/>
      <c r="T172" s="7"/>
    </row>
    <row r="173" spans="1:20" ht="14.25">
      <c r="A173" s="7"/>
      <c r="B173" s="7"/>
      <c r="C173" s="7"/>
      <c r="D173" s="7"/>
      <c r="P173" s="21"/>
      <c r="R173" s="5"/>
      <c r="S173" s="5"/>
      <c r="T173" s="7"/>
    </row>
    <row r="174" spans="1:20" ht="14.25">
      <c r="A174" s="7"/>
      <c r="B174" s="7"/>
      <c r="C174" s="7"/>
      <c r="D174" s="7"/>
      <c r="P174" s="21"/>
      <c r="R174" s="5"/>
      <c r="S174" s="5"/>
      <c r="T174" s="7"/>
    </row>
    <row r="175" spans="1:20" ht="14.25">
      <c r="A175" s="7"/>
      <c r="B175" s="7"/>
      <c r="C175" s="7"/>
      <c r="D175" s="7"/>
      <c r="P175" s="21"/>
      <c r="R175" s="5"/>
      <c r="S175" s="5"/>
      <c r="T175" s="7"/>
    </row>
    <row r="176" spans="1:20" ht="14.25">
      <c r="A176" s="7"/>
      <c r="B176" s="7"/>
      <c r="C176" s="7"/>
      <c r="D176" s="7"/>
      <c r="P176" s="21"/>
      <c r="R176" s="5"/>
      <c r="S176" s="5"/>
      <c r="T176" s="7"/>
    </row>
    <row r="177" spans="1:20" ht="14.25">
      <c r="A177" s="7"/>
      <c r="B177" s="7"/>
      <c r="C177" s="7"/>
      <c r="D177" s="7"/>
      <c r="P177" s="21"/>
      <c r="R177" s="5"/>
      <c r="S177" s="5"/>
      <c r="T177" s="7"/>
    </row>
    <row r="178" spans="1:20" ht="14.25">
      <c r="A178" s="7"/>
      <c r="B178" s="7"/>
      <c r="C178" s="7"/>
      <c r="D178" s="7"/>
      <c r="P178" s="21"/>
      <c r="R178" s="5"/>
      <c r="S178" s="5"/>
      <c r="T178" s="7"/>
    </row>
    <row r="179" spans="1:20" ht="14.25">
      <c r="A179" s="7"/>
      <c r="B179" s="7"/>
      <c r="C179" s="7"/>
      <c r="D179" s="7"/>
      <c r="P179" s="21"/>
      <c r="R179" s="5"/>
      <c r="S179" s="5"/>
      <c r="T179" s="7"/>
    </row>
    <row r="180" spans="1:20" ht="14.25">
      <c r="A180" s="7"/>
      <c r="B180" s="7"/>
      <c r="C180" s="7"/>
      <c r="D180" s="7"/>
      <c r="P180" s="21"/>
      <c r="R180" s="5"/>
      <c r="S180" s="5"/>
      <c r="T180" s="7"/>
    </row>
    <row r="181" spans="1:20" ht="14.25">
      <c r="A181" s="7"/>
      <c r="B181" s="7"/>
      <c r="C181" s="7"/>
      <c r="D181" s="7"/>
      <c r="P181" s="21"/>
      <c r="R181" s="5"/>
      <c r="S181" s="5"/>
      <c r="T181" s="7"/>
    </row>
    <row r="182" spans="1:20" ht="14.25">
      <c r="A182" s="7"/>
      <c r="B182" s="7"/>
      <c r="C182" s="7"/>
      <c r="D182" s="7"/>
      <c r="P182" s="21"/>
      <c r="R182" s="5"/>
      <c r="S182" s="5"/>
      <c r="T182" s="7"/>
    </row>
    <row r="183" spans="1:20" ht="14.25">
      <c r="A183" s="7"/>
      <c r="B183" s="7"/>
      <c r="C183" s="7"/>
      <c r="D183" s="7"/>
      <c r="P183" s="21"/>
      <c r="R183" s="5"/>
      <c r="S183" s="5"/>
      <c r="T183" s="7"/>
    </row>
    <row r="184" spans="1:20" ht="14.25">
      <c r="A184" s="7"/>
      <c r="B184" s="7"/>
      <c r="C184" s="7"/>
      <c r="D184" s="7"/>
      <c r="P184" s="21"/>
      <c r="R184" s="5"/>
      <c r="S184" s="5"/>
      <c r="T184" s="7"/>
    </row>
    <row r="185" spans="1:20" ht="14.25">
      <c r="A185" s="7"/>
      <c r="B185" s="7"/>
      <c r="C185" s="7"/>
      <c r="D185" s="7"/>
      <c r="P185" s="21"/>
      <c r="R185" s="5"/>
      <c r="S185" s="5"/>
      <c r="T185" s="7"/>
    </row>
    <row r="186" spans="1:20" ht="14.25">
      <c r="A186" s="7"/>
      <c r="B186" s="7"/>
      <c r="C186" s="7"/>
      <c r="D186" s="7"/>
      <c r="P186" s="21"/>
      <c r="R186" s="5"/>
      <c r="S186" s="5"/>
      <c r="T186" s="7"/>
    </row>
    <row r="187" spans="1:20" ht="14.25">
      <c r="A187" s="7"/>
      <c r="B187" s="7"/>
      <c r="C187" s="7"/>
      <c r="D187" s="7"/>
      <c r="P187" s="21"/>
      <c r="R187" s="5"/>
      <c r="S187" s="5"/>
      <c r="T187" s="7"/>
    </row>
    <row r="188" spans="1:20" ht="14.25">
      <c r="A188" s="7"/>
      <c r="B188" s="7"/>
      <c r="C188" s="7"/>
      <c r="D188" s="7"/>
      <c r="P188" s="21"/>
      <c r="R188" s="5"/>
      <c r="S188" s="5"/>
      <c r="T188" s="7"/>
    </row>
    <row r="189" spans="1:20" ht="14.25">
      <c r="A189" s="7"/>
      <c r="B189" s="7"/>
      <c r="C189" s="7"/>
      <c r="D189" s="7"/>
      <c r="P189" s="21"/>
      <c r="R189" s="5"/>
      <c r="S189" s="5"/>
      <c r="T189" s="7"/>
    </row>
    <row r="190" spans="1:20" ht="14.25">
      <c r="A190" s="7"/>
      <c r="B190" s="7"/>
      <c r="C190" s="7"/>
      <c r="D190" s="7"/>
      <c r="P190" s="21"/>
      <c r="R190" s="5"/>
      <c r="S190" s="5"/>
      <c r="T190" s="7"/>
    </row>
    <row r="191" spans="1:20" ht="14.25">
      <c r="A191" s="7"/>
      <c r="B191" s="7"/>
      <c r="C191" s="7"/>
      <c r="D191" s="7"/>
      <c r="P191" s="21"/>
      <c r="R191" s="5"/>
      <c r="S191" s="5"/>
      <c r="T191" s="7"/>
    </row>
    <row r="192" spans="1:20" ht="14.25">
      <c r="A192" s="7"/>
      <c r="B192" s="7"/>
      <c r="C192" s="7"/>
      <c r="D192" s="7"/>
      <c r="P192" s="21"/>
      <c r="R192" s="5"/>
      <c r="S192" s="5"/>
      <c r="T192" s="7"/>
    </row>
    <row r="193" spans="1:20" ht="14.25">
      <c r="A193" s="7"/>
      <c r="B193" s="7"/>
      <c r="C193" s="7"/>
      <c r="D193" s="7"/>
      <c r="P193" s="21"/>
      <c r="R193" s="5"/>
      <c r="S193" s="5"/>
      <c r="T193" s="7"/>
    </row>
    <row r="194" spans="1:20" ht="14.25">
      <c r="A194" s="7"/>
      <c r="B194" s="7"/>
      <c r="C194" s="7"/>
      <c r="D194" s="7"/>
      <c r="P194" s="21"/>
      <c r="R194" s="5"/>
      <c r="S194" s="5"/>
      <c r="T194" s="7"/>
    </row>
    <row r="195" spans="1:20" ht="14.25">
      <c r="A195" s="7"/>
      <c r="B195" s="7"/>
      <c r="C195" s="7"/>
      <c r="D195" s="7"/>
      <c r="P195" s="21"/>
      <c r="R195" s="5"/>
      <c r="S195" s="5"/>
      <c r="T195" s="7"/>
    </row>
    <row r="196" spans="1:20" ht="14.25">
      <c r="A196" s="7"/>
      <c r="B196" s="7"/>
      <c r="C196" s="7"/>
      <c r="D196" s="7"/>
      <c r="P196" s="21"/>
      <c r="R196" s="5"/>
      <c r="S196" s="5"/>
      <c r="T196" s="7"/>
    </row>
    <row r="197" spans="1:20" ht="14.25">
      <c r="A197" s="7"/>
      <c r="B197" s="7"/>
      <c r="C197" s="7"/>
      <c r="D197" s="7"/>
      <c r="P197" s="21"/>
      <c r="R197" s="5"/>
      <c r="S197" s="5"/>
      <c r="T197" s="7"/>
    </row>
    <row r="198" spans="1:20" ht="14.25">
      <c r="A198" s="7"/>
      <c r="B198" s="7"/>
      <c r="C198" s="7"/>
      <c r="D198" s="7"/>
      <c r="P198" s="21"/>
      <c r="R198" s="5"/>
      <c r="S198" s="5"/>
      <c r="T198" s="7"/>
    </row>
    <row r="199" spans="1:20" ht="14.25">
      <c r="A199" s="7"/>
      <c r="B199" s="7"/>
      <c r="C199" s="7"/>
      <c r="D199" s="7"/>
      <c r="P199" s="21"/>
      <c r="R199" s="5"/>
      <c r="S199" s="5"/>
      <c r="T199" s="7"/>
    </row>
    <row r="200" spans="1:20" ht="14.25">
      <c r="A200" s="7"/>
      <c r="B200" s="7"/>
      <c r="C200" s="7"/>
      <c r="D200" s="7"/>
      <c r="P200" s="21"/>
      <c r="R200" s="5"/>
      <c r="S200" s="5"/>
      <c r="T200" s="7"/>
    </row>
    <row r="201" spans="1:20" ht="14.25">
      <c r="A201" s="7"/>
      <c r="B201" s="7"/>
      <c r="C201" s="7"/>
      <c r="D201" s="7"/>
      <c r="P201" s="21"/>
      <c r="R201" s="5"/>
      <c r="S201" s="5"/>
      <c r="T201" s="7"/>
    </row>
    <row r="202" spans="1:20" ht="14.25">
      <c r="A202" s="7"/>
      <c r="B202" s="7"/>
      <c r="C202" s="7"/>
      <c r="D202" s="7"/>
      <c r="P202" s="21"/>
      <c r="R202" s="5"/>
      <c r="S202" s="5"/>
      <c r="T202" s="7"/>
    </row>
    <row r="203" spans="1:20" ht="14.25">
      <c r="A203" s="7"/>
      <c r="B203" s="7"/>
      <c r="C203" s="7"/>
      <c r="D203" s="7"/>
      <c r="P203" s="21"/>
      <c r="R203" s="5"/>
      <c r="S203" s="5"/>
      <c r="T203" s="7"/>
    </row>
    <row r="204" spans="1:20" ht="14.25">
      <c r="A204" s="7"/>
      <c r="B204" s="7"/>
      <c r="C204" s="7"/>
      <c r="D204" s="7"/>
      <c r="P204" s="21"/>
      <c r="R204" s="5"/>
      <c r="S204" s="5"/>
      <c r="T204" s="7"/>
    </row>
    <row r="205" spans="1:20" ht="14.25">
      <c r="A205" s="7"/>
      <c r="B205" s="7"/>
      <c r="C205" s="7"/>
      <c r="D205" s="7"/>
      <c r="P205" s="21"/>
      <c r="R205" s="5"/>
      <c r="S205" s="5"/>
      <c r="T205" s="7"/>
    </row>
    <row r="206" spans="1:20" ht="14.25">
      <c r="A206" s="7"/>
      <c r="B206" s="7"/>
      <c r="C206" s="7"/>
      <c r="D206" s="7"/>
      <c r="P206" s="21"/>
      <c r="R206" s="5"/>
      <c r="S206" s="5"/>
      <c r="T206" s="7"/>
    </row>
    <row r="207" spans="1:20" ht="14.25">
      <c r="A207" s="7"/>
      <c r="B207" s="7"/>
      <c r="C207" s="7"/>
      <c r="D207" s="7"/>
      <c r="P207" s="21"/>
      <c r="R207" s="5"/>
      <c r="S207" s="5"/>
      <c r="T207" s="7"/>
    </row>
    <row r="208" spans="1:20" ht="14.25">
      <c r="A208" s="7"/>
      <c r="B208" s="7"/>
      <c r="C208" s="7"/>
      <c r="D208" s="7"/>
      <c r="P208" s="21"/>
      <c r="R208" s="5"/>
      <c r="S208" s="5"/>
      <c r="T208" s="7"/>
    </row>
    <row r="209" spans="1:20" ht="14.25">
      <c r="A209" s="7"/>
      <c r="B209" s="7"/>
      <c r="C209" s="7"/>
      <c r="D209" s="7"/>
      <c r="P209" s="21"/>
      <c r="R209" s="5"/>
      <c r="S209" s="5"/>
      <c r="T209" s="7"/>
    </row>
    <row r="210" spans="1:20" ht="14.25">
      <c r="A210" s="7"/>
      <c r="B210" s="7"/>
      <c r="C210" s="7"/>
      <c r="D210" s="7"/>
      <c r="P210" s="21"/>
      <c r="R210" s="5"/>
      <c r="S210" s="5"/>
      <c r="T210" s="7"/>
    </row>
    <row r="211" spans="1:20" ht="14.25">
      <c r="A211" s="7"/>
      <c r="B211" s="7"/>
      <c r="C211" s="7"/>
      <c r="D211" s="7"/>
      <c r="P211" s="21"/>
      <c r="R211" s="5"/>
      <c r="S211" s="5"/>
      <c r="T211" s="7"/>
    </row>
    <row r="212" spans="1:20" ht="14.25">
      <c r="A212" s="7"/>
      <c r="B212" s="7"/>
      <c r="C212" s="7"/>
      <c r="D212" s="7"/>
      <c r="P212" s="21"/>
      <c r="R212" s="5"/>
      <c r="S212" s="5"/>
      <c r="T212" s="7"/>
    </row>
    <row r="213" spans="1:20" ht="14.25">
      <c r="A213" s="7"/>
      <c r="B213" s="7"/>
      <c r="C213" s="7"/>
      <c r="D213" s="7"/>
      <c r="P213" s="21"/>
      <c r="R213" s="5"/>
      <c r="S213" s="5"/>
      <c r="T213" s="7"/>
    </row>
    <row r="214" spans="1:20" ht="14.25">
      <c r="A214" s="7"/>
      <c r="B214" s="7"/>
      <c r="C214" s="7"/>
      <c r="D214" s="7"/>
      <c r="P214" s="21"/>
      <c r="R214" s="5"/>
      <c r="S214" s="5"/>
      <c r="T214" s="7"/>
    </row>
    <row r="215" spans="1:20" ht="14.25">
      <c r="A215" s="7"/>
      <c r="B215" s="7"/>
      <c r="C215" s="7"/>
      <c r="D215" s="7"/>
      <c r="P215" s="21"/>
      <c r="R215" s="5"/>
      <c r="S215" s="5"/>
      <c r="T215" s="7"/>
    </row>
    <row r="216" spans="1:20" ht="14.25">
      <c r="A216" s="7"/>
      <c r="B216" s="7"/>
      <c r="C216" s="7"/>
      <c r="D216" s="7"/>
      <c r="P216" s="21"/>
      <c r="R216" s="5"/>
      <c r="S216" s="5"/>
      <c r="T216" s="7"/>
    </row>
    <row r="217" spans="1:20" ht="14.25">
      <c r="A217" s="7"/>
      <c r="B217" s="7"/>
      <c r="C217" s="7"/>
      <c r="D217" s="7"/>
      <c r="P217" s="21"/>
      <c r="R217" s="5"/>
      <c r="S217" s="5"/>
      <c r="T217" s="7"/>
    </row>
    <row r="218" spans="1:20" ht="14.25">
      <c r="A218" s="7"/>
      <c r="B218" s="7"/>
      <c r="C218" s="7"/>
      <c r="D218" s="7"/>
      <c r="P218" s="21"/>
      <c r="R218" s="5"/>
      <c r="S218" s="5"/>
      <c r="T218" s="7"/>
    </row>
    <row r="219" spans="1:20" ht="14.25">
      <c r="A219" s="7"/>
      <c r="B219" s="7"/>
      <c r="C219" s="7"/>
      <c r="D219" s="7"/>
      <c r="P219" s="21"/>
      <c r="R219" s="5"/>
      <c r="S219" s="5"/>
      <c r="T219" s="7"/>
    </row>
    <row r="220" spans="1:20" ht="14.25">
      <c r="A220" s="7"/>
      <c r="B220" s="7"/>
      <c r="C220" s="7"/>
      <c r="D220" s="7"/>
      <c r="P220" s="21"/>
      <c r="R220" s="5"/>
      <c r="S220" s="5"/>
      <c r="T220" s="7"/>
    </row>
    <row r="221" spans="1:20" ht="14.25">
      <c r="A221" s="7"/>
      <c r="B221" s="7"/>
      <c r="C221" s="7"/>
      <c r="D221" s="7"/>
      <c r="P221" s="21"/>
      <c r="R221" s="5"/>
      <c r="S221" s="5"/>
      <c r="T221" s="7"/>
    </row>
    <row r="222" spans="1:20" ht="14.25">
      <c r="A222" s="7"/>
      <c r="B222" s="7"/>
      <c r="C222" s="7"/>
      <c r="D222" s="7"/>
      <c r="P222" s="21"/>
      <c r="R222" s="5"/>
      <c r="S222" s="5"/>
      <c r="T222" s="7"/>
    </row>
    <row r="223" spans="1:20" ht="14.25">
      <c r="A223" s="7"/>
      <c r="B223" s="7"/>
      <c r="C223" s="7"/>
      <c r="D223" s="7"/>
      <c r="P223" s="21"/>
      <c r="R223" s="5"/>
      <c r="S223" s="5"/>
      <c r="T223" s="7"/>
    </row>
    <row r="224" spans="1:20" ht="14.25">
      <c r="A224" s="7"/>
      <c r="B224" s="7"/>
      <c r="C224" s="7"/>
      <c r="D224" s="7"/>
      <c r="P224" s="21"/>
      <c r="R224" s="5"/>
      <c r="S224" s="5"/>
      <c r="T224" s="7"/>
    </row>
    <row r="225" spans="1:20" ht="14.25">
      <c r="A225" s="7"/>
      <c r="B225" s="7"/>
      <c r="C225" s="7"/>
      <c r="D225" s="7"/>
      <c r="P225" s="21"/>
      <c r="R225" s="5"/>
      <c r="S225" s="5"/>
      <c r="T225" s="7"/>
    </row>
    <row r="226" spans="1:20" ht="14.25">
      <c r="A226" s="7"/>
      <c r="B226" s="7"/>
      <c r="C226" s="7"/>
      <c r="D226" s="7"/>
      <c r="P226" s="21"/>
      <c r="R226" s="5"/>
      <c r="S226" s="5"/>
      <c r="T226" s="7"/>
    </row>
    <row r="227" spans="1:20" ht="14.25">
      <c r="A227" s="7"/>
      <c r="B227" s="7"/>
      <c r="C227" s="7"/>
      <c r="D227" s="7"/>
      <c r="P227" s="21"/>
      <c r="R227" s="5"/>
      <c r="S227" s="5"/>
      <c r="T227" s="7"/>
    </row>
    <row r="228" spans="1:20" ht="14.25">
      <c r="A228" s="7"/>
      <c r="B228" s="7"/>
      <c r="C228" s="7"/>
      <c r="D228" s="7"/>
      <c r="P228" s="21"/>
      <c r="R228" s="5"/>
      <c r="S228" s="5"/>
      <c r="T228" s="7"/>
    </row>
    <row r="229" spans="1:20" ht="14.25">
      <c r="A229" s="7"/>
      <c r="B229" s="7"/>
      <c r="C229" s="7"/>
      <c r="D229" s="7"/>
      <c r="P229" s="21"/>
      <c r="R229" s="5"/>
      <c r="S229" s="5"/>
      <c r="T229" s="7"/>
    </row>
    <row r="230" spans="1:20" ht="14.25">
      <c r="A230" s="7"/>
      <c r="B230" s="7"/>
      <c r="C230" s="7"/>
      <c r="D230" s="7"/>
      <c r="P230" s="21"/>
      <c r="R230" s="5"/>
      <c r="S230" s="5"/>
      <c r="T230" s="7"/>
    </row>
    <row r="231" spans="1:20" ht="14.25">
      <c r="A231" s="7"/>
      <c r="B231" s="7"/>
      <c r="C231" s="7"/>
      <c r="D231" s="7"/>
      <c r="P231" s="21"/>
      <c r="R231" s="5"/>
      <c r="S231" s="5"/>
      <c r="T231" s="7"/>
    </row>
    <row r="232" spans="1:20" ht="14.25">
      <c r="A232" s="7"/>
      <c r="B232" s="7"/>
      <c r="C232" s="7"/>
      <c r="D232" s="7"/>
      <c r="P232" s="21"/>
      <c r="R232" s="5"/>
      <c r="S232" s="5"/>
      <c r="T232" s="7"/>
    </row>
    <row r="233" spans="1:20" ht="14.25">
      <c r="A233" s="7"/>
      <c r="B233" s="7"/>
      <c r="C233" s="7"/>
      <c r="D233" s="7"/>
      <c r="P233" s="21"/>
      <c r="R233" s="5"/>
      <c r="S233" s="5"/>
      <c r="T233" s="7"/>
    </row>
    <row r="234" spans="1:20" ht="14.25">
      <c r="A234" s="7"/>
      <c r="B234" s="7"/>
      <c r="C234" s="7"/>
      <c r="D234" s="7"/>
      <c r="P234" s="21"/>
      <c r="R234" s="5"/>
      <c r="S234" s="5"/>
      <c r="T234" s="7"/>
    </row>
    <row r="235" spans="1:20" ht="14.25">
      <c r="A235" s="7"/>
      <c r="B235" s="7"/>
      <c r="C235" s="7"/>
      <c r="D235" s="7"/>
      <c r="P235" s="21"/>
      <c r="R235" s="5"/>
      <c r="S235" s="5"/>
      <c r="T235" s="7"/>
    </row>
    <row r="236" spans="1:20" ht="14.25">
      <c r="A236" s="7"/>
      <c r="B236" s="7"/>
      <c r="C236" s="7"/>
      <c r="D236" s="7"/>
      <c r="P236" s="21"/>
      <c r="R236" s="5"/>
      <c r="S236" s="5"/>
      <c r="T236" s="7"/>
    </row>
    <row r="237" spans="1:20" ht="14.25">
      <c r="A237" s="7"/>
      <c r="B237" s="7"/>
      <c r="C237" s="7"/>
      <c r="D237" s="7"/>
      <c r="P237" s="21"/>
      <c r="R237" s="5"/>
      <c r="S237" s="5"/>
      <c r="T237" s="7"/>
    </row>
    <row r="238" spans="1:20" ht="14.25">
      <c r="A238" s="7"/>
      <c r="B238" s="7"/>
      <c r="C238" s="7"/>
      <c r="D238" s="7"/>
      <c r="P238" s="21"/>
      <c r="R238" s="5"/>
      <c r="S238" s="5"/>
      <c r="T238" s="7"/>
    </row>
    <row r="239" spans="1:20" ht="14.25">
      <c r="A239" s="7"/>
      <c r="B239" s="7"/>
      <c r="C239" s="7"/>
      <c r="D239" s="7"/>
      <c r="P239" s="21"/>
      <c r="R239" s="5"/>
      <c r="S239" s="5"/>
      <c r="T239" s="7"/>
    </row>
    <row r="240" spans="1:20" ht="14.25">
      <c r="A240" s="7"/>
      <c r="B240" s="7"/>
      <c r="C240" s="7"/>
      <c r="D240" s="7"/>
      <c r="P240" s="21"/>
      <c r="R240" s="5"/>
      <c r="S240" s="5"/>
      <c r="T240" s="7"/>
    </row>
    <row r="241" spans="1:20" ht="14.25">
      <c r="A241" s="7"/>
      <c r="B241" s="7"/>
      <c r="C241" s="7"/>
      <c r="D241" s="7"/>
      <c r="P241" s="21"/>
      <c r="R241" s="5"/>
      <c r="S241" s="5"/>
      <c r="T241" s="7"/>
    </row>
    <row r="242" spans="1:20" ht="14.25">
      <c r="A242" s="7"/>
      <c r="B242" s="7"/>
      <c r="C242" s="7"/>
      <c r="D242" s="7"/>
      <c r="P242" s="21"/>
      <c r="R242" s="5"/>
      <c r="S242" s="5"/>
      <c r="T242" s="7"/>
    </row>
    <row r="243" spans="1:20" ht="14.25">
      <c r="A243" s="7"/>
      <c r="B243" s="7"/>
      <c r="C243" s="7"/>
      <c r="D243" s="7"/>
      <c r="P243" s="21"/>
      <c r="R243" s="5"/>
      <c r="S243" s="5"/>
      <c r="T243" s="7"/>
    </row>
    <row r="244" spans="1:20" ht="14.25">
      <c r="A244" s="7"/>
      <c r="B244" s="7"/>
      <c r="C244" s="7"/>
      <c r="D244" s="7"/>
      <c r="P244" s="21"/>
      <c r="R244" s="5"/>
      <c r="S244" s="5"/>
      <c r="T244" s="7"/>
    </row>
    <row r="245" spans="1:20" ht="14.25">
      <c r="A245" s="7"/>
      <c r="B245" s="7"/>
      <c r="C245" s="7"/>
      <c r="D245" s="7"/>
      <c r="P245" s="21"/>
      <c r="R245" s="5"/>
      <c r="S245" s="5"/>
      <c r="T245" s="7"/>
    </row>
    <row r="246" spans="1:20" ht="14.25">
      <c r="A246" s="7"/>
      <c r="B246" s="7"/>
      <c r="C246" s="7"/>
      <c r="D246" s="7"/>
      <c r="P246" s="21"/>
      <c r="R246" s="5"/>
      <c r="S246" s="5"/>
      <c r="T246" s="7"/>
    </row>
    <row r="247" spans="1:20" ht="14.25">
      <c r="A247" s="7"/>
      <c r="B247" s="7"/>
      <c r="C247" s="7"/>
      <c r="D247" s="7"/>
      <c r="P247" s="21"/>
      <c r="R247" s="5"/>
      <c r="S247" s="5"/>
      <c r="T247" s="7"/>
    </row>
    <row r="248" spans="1:20" ht="14.25">
      <c r="A248" s="7"/>
      <c r="B248" s="7"/>
      <c r="C248" s="7"/>
      <c r="D248" s="7"/>
      <c r="P248" s="21"/>
      <c r="R248" s="5"/>
      <c r="S248" s="5"/>
      <c r="T248" s="7"/>
    </row>
    <row r="249" spans="1:20" ht="14.25">
      <c r="A249" s="7"/>
      <c r="B249" s="7"/>
      <c r="C249" s="7"/>
      <c r="D249" s="7"/>
      <c r="P249" s="21"/>
      <c r="R249" s="5"/>
      <c r="S249" s="5"/>
      <c r="T249" s="7"/>
    </row>
    <row r="250" spans="1:20" ht="14.25">
      <c r="A250" s="7"/>
      <c r="B250" s="7"/>
      <c r="C250" s="7"/>
      <c r="D250" s="7"/>
      <c r="P250" s="21"/>
      <c r="R250" s="5"/>
      <c r="S250" s="5"/>
      <c r="T250" s="7"/>
    </row>
    <row r="251" spans="1:20" ht="14.25">
      <c r="A251" s="7"/>
      <c r="B251" s="7"/>
      <c r="C251" s="7"/>
      <c r="D251" s="7"/>
      <c r="P251" s="21"/>
      <c r="R251" s="5"/>
      <c r="S251" s="5"/>
      <c r="T251" s="7"/>
    </row>
    <row r="252" spans="1:20" ht="14.25">
      <c r="A252" s="7"/>
      <c r="B252" s="7"/>
      <c r="C252" s="7"/>
      <c r="D252" s="7"/>
      <c r="P252" s="21"/>
      <c r="R252" s="5"/>
      <c r="S252" s="5"/>
      <c r="T252" s="7"/>
    </row>
    <row r="253" spans="1:20" ht="14.25">
      <c r="A253" s="7"/>
      <c r="B253" s="7"/>
      <c r="C253" s="7"/>
      <c r="D253" s="7"/>
      <c r="P253" s="21"/>
      <c r="R253" s="5"/>
      <c r="S253" s="5"/>
      <c r="T253" s="7"/>
    </row>
    <row r="254" spans="1:20" ht="14.25">
      <c r="A254" s="7"/>
      <c r="B254" s="7"/>
      <c r="C254" s="7"/>
      <c r="D254" s="7"/>
      <c r="P254" s="21"/>
      <c r="R254" s="5"/>
      <c r="S254" s="5"/>
      <c r="T254" s="7"/>
    </row>
    <row r="255" spans="1:20" ht="14.25">
      <c r="A255" s="7"/>
      <c r="B255" s="7"/>
      <c r="C255" s="7"/>
      <c r="D255" s="7"/>
      <c r="P255" s="21"/>
      <c r="R255" s="5"/>
      <c r="S255" s="5"/>
      <c r="T255" s="7"/>
    </row>
    <row r="256" spans="1:20" ht="14.25">
      <c r="A256" s="7"/>
      <c r="B256" s="7"/>
      <c r="C256" s="7"/>
      <c r="D256" s="7"/>
      <c r="P256" s="21"/>
      <c r="R256" s="5"/>
      <c r="S256" s="5"/>
      <c r="T256" s="7"/>
    </row>
    <row r="257" spans="1:20" ht="14.25">
      <c r="A257" s="7"/>
      <c r="B257" s="7"/>
      <c r="C257" s="7"/>
      <c r="D257" s="7"/>
      <c r="P257" s="21"/>
      <c r="R257" s="5"/>
      <c r="S257" s="5"/>
      <c r="T257" s="7"/>
    </row>
    <row r="258" spans="1:20" ht="14.25">
      <c r="A258" s="7"/>
      <c r="B258" s="7"/>
      <c r="C258" s="7"/>
      <c r="D258" s="7"/>
      <c r="P258" s="21"/>
      <c r="R258" s="5"/>
      <c r="S258" s="5"/>
      <c r="T258" s="7"/>
    </row>
    <row r="259" spans="1:20" ht="14.25">
      <c r="A259" s="7"/>
      <c r="B259" s="7"/>
      <c r="C259" s="7"/>
      <c r="D259" s="7"/>
      <c r="P259" s="21"/>
      <c r="R259" s="5"/>
      <c r="S259" s="5"/>
      <c r="T259" s="7"/>
    </row>
    <row r="260" spans="1:20" ht="14.25">
      <c r="A260" s="7"/>
      <c r="B260" s="7"/>
      <c r="C260" s="7"/>
      <c r="D260" s="7"/>
      <c r="P260" s="21"/>
      <c r="R260" s="5"/>
      <c r="S260" s="5"/>
      <c r="T260" s="7"/>
    </row>
    <row r="261" spans="1:20" ht="14.25">
      <c r="A261" s="7"/>
      <c r="B261" s="7"/>
      <c r="C261" s="7"/>
      <c r="D261" s="7"/>
      <c r="P261" s="21"/>
      <c r="R261" s="5"/>
      <c r="S261" s="5"/>
      <c r="T261" s="7"/>
    </row>
    <row r="262" spans="1:20" ht="14.25">
      <c r="A262" s="7"/>
      <c r="B262" s="7"/>
      <c r="C262" s="7"/>
      <c r="D262" s="7"/>
      <c r="P262" s="21"/>
      <c r="R262" s="5"/>
      <c r="S262" s="5"/>
      <c r="T262" s="7"/>
    </row>
    <row r="263" spans="1:20" ht="14.25">
      <c r="A263" s="7"/>
      <c r="B263" s="7"/>
      <c r="C263" s="7"/>
      <c r="D263" s="7"/>
      <c r="P263" s="21"/>
      <c r="R263" s="5"/>
      <c r="S263" s="5"/>
      <c r="T263" s="7"/>
    </row>
    <row r="264" spans="1:20" ht="14.25">
      <c r="A264" s="7"/>
      <c r="B264" s="7"/>
      <c r="C264" s="7"/>
      <c r="D264" s="7"/>
      <c r="P264" s="21"/>
      <c r="R264" s="5"/>
      <c r="S264" s="5"/>
      <c r="T264" s="7"/>
    </row>
    <row r="265" spans="1:20" ht="14.25">
      <c r="A265" s="7"/>
      <c r="B265" s="7"/>
      <c r="C265" s="7"/>
      <c r="D265" s="7"/>
      <c r="P265" s="21"/>
      <c r="R265" s="5"/>
      <c r="S265" s="5"/>
      <c r="T265" s="7"/>
    </row>
    <row r="266" spans="1:20" ht="14.25">
      <c r="A266" s="7"/>
      <c r="B266" s="7"/>
      <c r="C266" s="7"/>
      <c r="D266" s="7"/>
      <c r="P266" s="21"/>
      <c r="R266" s="5"/>
      <c r="S266" s="5"/>
      <c r="T266" s="7"/>
    </row>
    <row r="267" spans="1:20" ht="14.25">
      <c r="A267" s="7"/>
      <c r="B267" s="7"/>
      <c r="C267" s="7"/>
      <c r="D267" s="7"/>
      <c r="P267" s="21"/>
      <c r="R267" s="5"/>
      <c r="S267" s="5"/>
      <c r="T267" s="7"/>
    </row>
    <row r="268" spans="1:20" ht="14.25">
      <c r="A268" s="7"/>
      <c r="B268" s="7"/>
      <c r="C268" s="7"/>
      <c r="D268" s="7"/>
      <c r="P268" s="21"/>
      <c r="R268" s="5"/>
      <c r="S268" s="5"/>
      <c r="T268" s="7"/>
    </row>
    <row r="269" spans="1:20" ht="14.25">
      <c r="A269" s="7"/>
      <c r="B269" s="7"/>
      <c r="C269" s="7"/>
      <c r="D269" s="7"/>
      <c r="P269" s="21"/>
      <c r="R269" s="5"/>
      <c r="S269" s="5"/>
      <c r="T269" s="7"/>
    </row>
    <row r="270" spans="1:20" ht="14.25">
      <c r="A270" s="7"/>
      <c r="B270" s="7"/>
      <c r="C270" s="7"/>
      <c r="D270" s="7"/>
      <c r="P270" s="21"/>
      <c r="R270" s="5"/>
      <c r="S270" s="5"/>
      <c r="T270" s="7"/>
    </row>
    <row r="271" spans="1:20" ht="14.25">
      <c r="A271" s="7"/>
      <c r="B271" s="7"/>
      <c r="C271" s="7"/>
      <c r="D271" s="7"/>
      <c r="P271" s="21"/>
      <c r="R271" s="5"/>
      <c r="S271" s="5"/>
      <c r="T271" s="7"/>
    </row>
    <row r="272" spans="1:20" ht="14.25">
      <c r="A272" s="7"/>
      <c r="B272" s="7"/>
      <c r="C272" s="7"/>
      <c r="D272" s="7"/>
      <c r="P272" s="21"/>
      <c r="R272" s="5"/>
      <c r="S272" s="5"/>
      <c r="T272" s="7"/>
    </row>
    <row r="273" spans="1:20" ht="14.25">
      <c r="A273" s="7"/>
      <c r="B273" s="7"/>
      <c r="C273" s="7"/>
      <c r="D273" s="7"/>
      <c r="P273" s="21"/>
      <c r="R273" s="5"/>
      <c r="S273" s="5"/>
      <c r="T273" s="7"/>
    </row>
    <row r="274" spans="1:20" ht="14.25">
      <c r="A274" s="7"/>
      <c r="B274" s="7"/>
      <c r="C274" s="7"/>
      <c r="D274" s="7"/>
      <c r="P274" s="21"/>
      <c r="R274" s="5"/>
      <c r="S274" s="5"/>
      <c r="T274" s="7"/>
    </row>
    <row r="275" spans="1:20" ht="14.25">
      <c r="A275" s="7"/>
      <c r="B275" s="7"/>
      <c r="C275" s="7"/>
      <c r="D275" s="7"/>
      <c r="P275" s="21"/>
      <c r="R275" s="5"/>
      <c r="S275" s="5"/>
      <c r="T275" s="7"/>
    </row>
    <row r="276" spans="1:20" ht="14.25">
      <c r="A276" s="7"/>
      <c r="B276" s="7"/>
      <c r="C276" s="7"/>
      <c r="D276" s="7"/>
      <c r="P276" s="21"/>
      <c r="R276" s="5"/>
      <c r="S276" s="5"/>
      <c r="T276" s="7"/>
    </row>
    <row r="277" spans="1:20" ht="14.25">
      <c r="A277" s="7"/>
      <c r="B277" s="7"/>
      <c r="C277" s="7"/>
      <c r="D277" s="7"/>
      <c r="P277" s="21"/>
      <c r="R277" s="5"/>
      <c r="S277" s="5"/>
      <c r="T277" s="7"/>
    </row>
    <row r="278" spans="1:20" ht="14.25">
      <c r="A278" s="7"/>
      <c r="B278" s="7"/>
      <c r="C278" s="7"/>
      <c r="D278" s="7"/>
      <c r="P278" s="21"/>
      <c r="R278" s="5"/>
      <c r="S278" s="5"/>
      <c r="T278" s="7"/>
    </row>
    <row r="279" spans="1:20" ht="14.25">
      <c r="A279" s="7"/>
      <c r="B279" s="7"/>
      <c r="C279" s="7"/>
      <c r="D279" s="7"/>
      <c r="P279" s="21"/>
      <c r="R279" s="5"/>
      <c r="S279" s="5"/>
      <c r="T279" s="7"/>
    </row>
    <row r="280" spans="1:20" ht="14.25">
      <c r="A280" s="7"/>
      <c r="B280" s="7"/>
      <c r="C280" s="7"/>
      <c r="D280" s="7"/>
      <c r="P280" s="21"/>
      <c r="R280" s="5"/>
      <c r="S280" s="5"/>
      <c r="T280" s="7"/>
    </row>
    <row r="281" spans="1:20" ht="14.25">
      <c r="A281" s="7"/>
      <c r="B281" s="7"/>
      <c r="C281" s="7"/>
      <c r="D281" s="7"/>
      <c r="P281" s="21"/>
      <c r="R281" s="5"/>
      <c r="S281" s="5"/>
      <c r="T281" s="7"/>
    </row>
    <row r="282" spans="1:20" ht="14.25">
      <c r="A282" s="7"/>
      <c r="B282" s="7"/>
      <c r="C282" s="7"/>
      <c r="D282" s="7"/>
      <c r="P282" s="21"/>
      <c r="R282" s="5"/>
      <c r="S282" s="5"/>
      <c r="T282" s="7"/>
    </row>
    <row r="283" spans="1:20" ht="14.25">
      <c r="A283" s="7"/>
      <c r="B283" s="7"/>
      <c r="C283" s="7"/>
      <c r="D283" s="7"/>
      <c r="P283" s="21"/>
      <c r="R283" s="5"/>
      <c r="S283" s="5"/>
      <c r="T283" s="7"/>
    </row>
    <row r="284" spans="1:20" ht="14.25">
      <c r="A284" s="7"/>
      <c r="B284" s="7"/>
      <c r="C284" s="7"/>
      <c r="D284" s="7"/>
      <c r="P284" s="21"/>
      <c r="R284" s="5"/>
      <c r="S284" s="5"/>
      <c r="T284" s="7"/>
    </row>
    <row r="285" spans="1:20" ht="14.25">
      <c r="A285" s="7"/>
      <c r="B285" s="7"/>
      <c r="C285" s="7"/>
      <c r="D285" s="7"/>
      <c r="P285" s="21"/>
      <c r="R285" s="5"/>
      <c r="S285" s="5"/>
      <c r="T285" s="7"/>
    </row>
    <row r="286" spans="1:20" ht="14.25">
      <c r="A286" s="7"/>
      <c r="B286" s="7"/>
      <c r="C286" s="7"/>
      <c r="D286" s="7"/>
      <c r="P286" s="21"/>
      <c r="R286" s="5"/>
      <c r="S286" s="5"/>
      <c r="T286" s="7"/>
    </row>
    <row r="287" spans="1:20" ht="14.25">
      <c r="A287" s="7"/>
      <c r="B287" s="7"/>
      <c r="C287" s="7"/>
      <c r="D287" s="7"/>
      <c r="P287" s="21"/>
      <c r="R287" s="5"/>
      <c r="S287" s="5"/>
      <c r="T287" s="7"/>
    </row>
    <row r="288" spans="1:20" ht="14.25">
      <c r="A288" s="7"/>
      <c r="B288" s="7"/>
      <c r="C288" s="7"/>
      <c r="D288" s="7"/>
      <c r="P288" s="21"/>
      <c r="R288" s="5"/>
      <c r="S288" s="5"/>
      <c r="T288" s="7"/>
    </row>
    <row r="289" spans="1:20" ht="14.25">
      <c r="A289" s="7"/>
      <c r="B289" s="7"/>
      <c r="C289" s="7"/>
      <c r="D289" s="7"/>
      <c r="P289" s="21"/>
      <c r="R289" s="5"/>
      <c r="S289" s="5"/>
      <c r="T289" s="7"/>
    </row>
    <row r="290" spans="1:20" ht="14.25">
      <c r="A290" s="7"/>
      <c r="B290" s="7"/>
      <c r="C290" s="7"/>
      <c r="D290" s="7"/>
      <c r="P290" s="21"/>
      <c r="R290" s="5"/>
      <c r="S290" s="5"/>
      <c r="T290" s="7"/>
    </row>
    <row r="291" spans="1:20" ht="14.25">
      <c r="A291" s="7"/>
      <c r="B291" s="7"/>
      <c r="C291" s="7"/>
      <c r="D291" s="7"/>
      <c r="P291" s="21"/>
      <c r="R291" s="5"/>
      <c r="S291" s="5"/>
      <c r="T291" s="7"/>
    </row>
    <row r="292" spans="1:20" ht="14.25">
      <c r="A292" s="7"/>
      <c r="B292" s="7"/>
      <c r="C292" s="7"/>
      <c r="D292" s="7"/>
      <c r="P292" s="21"/>
      <c r="R292" s="5"/>
      <c r="S292" s="5"/>
      <c r="T292" s="7"/>
    </row>
    <row r="293" spans="1:20" ht="14.25">
      <c r="A293" s="7"/>
      <c r="B293" s="7"/>
      <c r="C293" s="7"/>
      <c r="D293" s="7"/>
      <c r="P293" s="21"/>
      <c r="R293" s="5"/>
      <c r="S293" s="5"/>
      <c r="T293" s="7"/>
    </row>
    <row r="294" spans="1:20" ht="14.25">
      <c r="A294" s="7"/>
      <c r="B294" s="7"/>
      <c r="C294" s="7"/>
      <c r="D294" s="7"/>
      <c r="P294" s="21"/>
      <c r="R294" s="5"/>
      <c r="S294" s="5"/>
      <c r="T294" s="7"/>
    </row>
    <row r="295" spans="1:20" ht="14.25">
      <c r="A295" s="7"/>
      <c r="B295" s="7"/>
      <c r="C295" s="7"/>
      <c r="D295" s="7"/>
      <c r="P295" s="21"/>
      <c r="R295" s="5"/>
      <c r="S295" s="5"/>
      <c r="T295" s="7"/>
    </row>
    <row r="296" spans="1:20" ht="14.25">
      <c r="A296" s="7"/>
      <c r="B296" s="7"/>
      <c r="C296" s="7"/>
      <c r="D296" s="7"/>
      <c r="P296" s="21"/>
      <c r="R296" s="5"/>
      <c r="S296" s="5"/>
      <c r="T296" s="7"/>
    </row>
    <row r="297" spans="1:20" ht="14.25">
      <c r="A297" s="7"/>
      <c r="B297" s="7"/>
      <c r="C297" s="7"/>
      <c r="D297" s="7"/>
      <c r="P297" s="21"/>
      <c r="R297" s="5"/>
      <c r="S297" s="5"/>
      <c r="T297" s="7"/>
    </row>
    <row r="298" spans="1:20" ht="14.25">
      <c r="A298" s="7"/>
      <c r="B298" s="7"/>
      <c r="C298" s="7"/>
      <c r="D298" s="7"/>
      <c r="P298" s="21"/>
      <c r="R298" s="5"/>
      <c r="S298" s="5"/>
      <c r="T298" s="7"/>
    </row>
    <row r="299" spans="1:20" ht="14.25">
      <c r="A299" s="7"/>
      <c r="B299" s="7"/>
      <c r="C299" s="7"/>
      <c r="D299" s="7"/>
      <c r="P299" s="21"/>
      <c r="R299" s="5"/>
      <c r="S299" s="5"/>
      <c r="T299" s="7"/>
    </row>
    <row r="300" spans="1:20" ht="14.25">
      <c r="A300" s="7"/>
      <c r="B300" s="7"/>
      <c r="C300" s="7"/>
      <c r="D300" s="7"/>
      <c r="P300" s="21"/>
      <c r="R300" s="5"/>
      <c r="S300" s="5"/>
      <c r="T300" s="7"/>
    </row>
    <row r="301" spans="1:20" ht="14.25">
      <c r="A301" s="7"/>
      <c r="B301" s="7"/>
      <c r="C301" s="7"/>
      <c r="D301" s="7"/>
      <c r="P301" s="21"/>
      <c r="R301" s="5"/>
      <c r="S301" s="5"/>
      <c r="T301" s="7"/>
    </row>
    <row r="302" spans="1:20" ht="14.25">
      <c r="A302" s="7"/>
      <c r="B302" s="7"/>
      <c r="C302" s="7"/>
      <c r="D302" s="7"/>
      <c r="P302" s="21"/>
      <c r="R302" s="5"/>
      <c r="S302" s="5"/>
      <c r="T302" s="7"/>
    </row>
    <row r="303" spans="1:20" ht="14.25">
      <c r="A303" s="7"/>
      <c r="B303" s="7"/>
      <c r="C303" s="7"/>
      <c r="D303" s="7"/>
      <c r="P303" s="21"/>
      <c r="R303" s="5"/>
      <c r="S303" s="5"/>
      <c r="T303" s="7"/>
    </row>
    <row r="304" spans="1:20" ht="14.25">
      <c r="A304" s="7"/>
      <c r="B304" s="7"/>
      <c r="C304" s="7"/>
      <c r="D304" s="7"/>
      <c r="P304" s="21"/>
      <c r="R304" s="5"/>
      <c r="S304" s="5"/>
      <c r="T304" s="7"/>
    </row>
    <row r="305" spans="1:20" ht="14.25">
      <c r="A305" s="7"/>
      <c r="B305" s="7"/>
      <c r="C305" s="7"/>
      <c r="D305" s="7"/>
      <c r="P305" s="21"/>
      <c r="R305" s="5"/>
      <c r="S305" s="5"/>
      <c r="T305" s="7"/>
    </row>
    <row r="306" spans="1:20" ht="14.25">
      <c r="A306" s="7"/>
      <c r="B306" s="7"/>
      <c r="C306" s="7"/>
      <c r="D306" s="7"/>
      <c r="P306" s="21"/>
      <c r="R306" s="5"/>
      <c r="S306" s="5"/>
      <c r="T306" s="7"/>
    </row>
    <row r="307" spans="1:20" ht="14.25">
      <c r="A307" s="7"/>
      <c r="B307" s="7"/>
      <c r="C307" s="7"/>
      <c r="D307" s="7"/>
      <c r="P307" s="21"/>
      <c r="R307" s="5"/>
      <c r="S307" s="5"/>
      <c r="T307" s="7"/>
    </row>
    <row r="308" spans="1:20" ht="14.25">
      <c r="A308" s="7"/>
      <c r="B308" s="7"/>
      <c r="C308" s="7"/>
      <c r="D308" s="7"/>
      <c r="P308" s="21"/>
      <c r="R308" s="5"/>
      <c r="S308" s="5"/>
      <c r="T308" s="7"/>
    </row>
    <row r="309" spans="1:20" ht="14.25">
      <c r="A309" s="7"/>
      <c r="B309" s="7"/>
      <c r="C309" s="7"/>
      <c r="D309" s="7"/>
      <c r="P309" s="21"/>
      <c r="R309" s="5"/>
      <c r="S309" s="5"/>
      <c r="T309" s="7"/>
    </row>
    <row r="310" spans="1:20" ht="14.25">
      <c r="A310" s="7"/>
      <c r="B310" s="7"/>
      <c r="C310" s="7"/>
      <c r="D310" s="7"/>
      <c r="P310" s="21"/>
      <c r="R310" s="5"/>
      <c r="S310" s="5"/>
      <c r="T310" s="7"/>
    </row>
    <row r="311" spans="1:20" ht="14.25">
      <c r="A311" s="7"/>
      <c r="B311" s="7"/>
      <c r="C311" s="7"/>
      <c r="D311" s="7"/>
      <c r="P311" s="21"/>
      <c r="R311" s="5"/>
      <c r="S311" s="5"/>
      <c r="T311" s="7"/>
    </row>
    <row r="312" spans="1:20" ht="14.25">
      <c r="A312" s="7"/>
      <c r="B312" s="7"/>
      <c r="C312" s="7"/>
      <c r="D312" s="7"/>
      <c r="P312" s="21"/>
      <c r="R312" s="5"/>
      <c r="S312" s="5"/>
      <c r="T312" s="7"/>
    </row>
    <row r="313" spans="1:20" ht="14.25">
      <c r="A313" s="7"/>
      <c r="B313" s="7"/>
      <c r="C313" s="7"/>
      <c r="D313" s="7"/>
      <c r="P313" s="21"/>
      <c r="R313" s="5"/>
      <c r="S313" s="5"/>
      <c r="T313" s="7"/>
    </row>
    <row r="314" spans="1:20" ht="14.25">
      <c r="A314" s="7"/>
      <c r="B314" s="7"/>
      <c r="C314" s="7"/>
      <c r="D314" s="7"/>
      <c r="P314" s="21"/>
      <c r="R314" s="5"/>
      <c r="S314" s="5"/>
      <c r="T314" s="7"/>
    </row>
    <row r="315" spans="1:20" ht="14.25">
      <c r="A315" s="7"/>
      <c r="B315" s="7"/>
      <c r="C315" s="7"/>
      <c r="D315" s="7"/>
      <c r="P315" s="21"/>
      <c r="R315" s="5"/>
      <c r="S315" s="5"/>
      <c r="T315" s="7"/>
    </row>
    <row r="316" spans="1:20" ht="14.25">
      <c r="A316" s="7"/>
      <c r="B316" s="7"/>
      <c r="C316" s="7"/>
      <c r="D316" s="7"/>
      <c r="P316" s="21"/>
      <c r="R316" s="5"/>
      <c r="S316" s="5"/>
      <c r="T316" s="7"/>
    </row>
    <row r="317" spans="1:20" ht="14.25">
      <c r="A317" s="7"/>
      <c r="B317" s="7"/>
      <c r="C317" s="7"/>
      <c r="D317" s="7"/>
      <c r="P317" s="21"/>
      <c r="R317" s="5"/>
      <c r="S317" s="5"/>
      <c r="T317" s="7"/>
    </row>
    <row r="318" spans="1:20" ht="14.25">
      <c r="A318" s="7"/>
      <c r="B318" s="7"/>
      <c r="C318" s="7"/>
      <c r="D318" s="7"/>
      <c r="P318" s="21"/>
      <c r="R318" s="5"/>
      <c r="S318" s="5"/>
      <c r="T318" s="7"/>
    </row>
    <row r="319" spans="1:20" ht="14.25">
      <c r="A319" s="7"/>
      <c r="B319" s="7"/>
      <c r="C319" s="7"/>
      <c r="D319" s="7"/>
      <c r="P319" s="21"/>
      <c r="R319" s="5"/>
      <c r="S319" s="5"/>
      <c r="T319" s="7"/>
    </row>
    <row r="320" spans="1:20" ht="14.25">
      <c r="A320" s="7"/>
      <c r="B320" s="7"/>
      <c r="C320" s="7"/>
      <c r="D320" s="7"/>
      <c r="P320" s="21"/>
      <c r="R320" s="5"/>
      <c r="S320" s="5"/>
      <c r="T320" s="7"/>
    </row>
    <row r="321" spans="1:20" ht="14.25">
      <c r="A321" s="7"/>
      <c r="B321" s="7"/>
      <c r="C321" s="7"/>
      <c r="D321" s="7"/>
      <c r="P321" s="21"/>
      <c r="R321" s="5"/>
      <c r="S321" s="5"/>
      <c r="T321" s="7"/>
    </row>
    <row r="322" spans="1:20" ht="14.25">
      <c r="A322" s="7"/>
      <c r="B322" s="7"/>
      <c r="C322" s="7"/>
      <c r="D322" s="7"/>
      <c r="P322" s="21"/>
      <c r="R322" s="5"/>
      <c r="S322" s="5"/>
      <c r="T322" s="7"/>
    </row>
    <row r="323" spans="1:20" ht="14.25">
      <c r="A323" s="7"/>
      <c r="B323" s="7"/>
      <c r="C323" s="7"/>
      <c r="D323" s="7"/>
      <c r="P323" s="21"/>
      <c r="R323" s="5"/>
      <c r="S323" s="5"/>
      <c r="T323" s="7"/>
    </row>
    <row r="324" spans="1:20" ht="14.25">
      <c r="A324" s="7"/>
      <c r="B324" s="7"/>
      <c r="C324" s="7"/>
      <c r="D324" s="7"/>
      <c r="P324" s="21"/>
      <c r="R324" s="5"/>
      <c r="S324" s="5"/>
      <c r="T324" s="7"/>
    </row>
    <row r="325" spans="1:20" ht="14.25">
      <c r="A325" s="7"/>
      <c r="B325" s="7"/>
      <c r="C325" s="7"/>
      <c r="D325" s="7"/>
      <c r="P325" s="21"/>
      <c r="R325" s="5"/>
      <c r="S325" s="5"/>
      <c r="T325" s="7"/>
    </row>
    <row r="326" spans="1:20" ht="14.25">
      <c r="A326" s="7"/>
      <c r="B326" s="7"/>
      <c r="C326" s="7"/>
      <c r="D326" s="7"/>
      <c r="P326" s="21"/>
      <c r="R326" s="5"/>
      <c r="S326" s="5"/>
      <c r="T326" s="7"/>
    </row>
    <row r="327" spans="1:20" ht="14.25">
      <c r="A327" s="7"/>
      <c r="B327" s="7"/>
      <c r="C327" s="7"/>
      <c r="D327" s="7"/>
      <c r="P327" s="21"/>
      <c r="R327" s="5"/>
      <c r="S327" s="5"/>
      <c r="T327" s="7"/>
    </row>
    <row r="328" spans="1:20" ht="14.25">
      <c r="A328" s="7"/>
      <c r="B328" s="7"/>
      <c r="C328" s="7"/>
      <c r="D328" s="7"/>
      <c r="P328" s="21"/>
      <c r="R328" s="5"/>
      <c r="S328" s="5"/>
      <c r="T328" s="7"/>
    </row>
    <row r="329" spans="1:20" ht="14.25">
      <c r="A329" s="7"/>
      <c r="B329" s="7"/>
      <c r="C329" s="7"/>
      <c r="D329" s="7"/>
      <c r="P329" s="21"/>
      <c r="R329" s="5"/>
      <c r="S329" s="5"/>
      <c r="T329" s="7"/>
    </row>
    <row r="330" spans="1:20" ht="14.25">
      <c r="A330" s="7"/>
      <c r="B330" s="7"/>
      <c r="C330" s="7"/>
      <c r="D330" s="7"/>
      <c r="P330" s="21"/>
      <c r="R330" s="5"/>
      <c r="S330" s="5"/>
      <c r="T330" s="7"/>
    </row>
    <row r="331" spans="1:20" ht="14.25">
      <c r="A331" s="7"/>
      <c r="B331" s="7"/>
      <c r="C331" s="7"/>
      <c r="D331" s="7"/>
      <c r="P331" s="21"/>
      <c r="R331" s="5"/>
      <c r="S331" s="5"/>
      <c r="T331" s="7"/>
    </row>
    <row r="332" spans="1:20" ht="14.25">
      <c r="A332" s="7"/>
      <c r="B332" s="7"/>
      <c r="C332" s="7"/>
      <c r="D332" s="7"/>
      <c r="P332" s="21"/>
      <c r="R332" s="5"/>
      <c r="S332" s="5"/>
      <c r="T332" s="7"/>
    </row>
    <row r="333" spans="1:20" ht="14.25">
      <c r="A333" s="7"/>
      <c r="B333" s="7"/>
      <c r="C333" s="7"/>
      <c r="D333" s="7"/>
      <c r="P333" s="21"/>
      <c r="R333" s="5"/>
      <c r="S333" s="5"/>
      <c r="T333" s="7"/>
    </row>
    <row r="334" spans="1:20" ht="14.25">
      <c r="A334" s="7"/>
      <c r="B334" s="7"/>
      <c r="C334" s="7"/>
      <c r="D334" s="7"/>
      <c r="P334" s="21"/>
      <c r="R334" s="5"/>
      <c r="S334" s="5"/>
      <c r="T334" s="7"/>
    </row>
    <row r="335" spans="1:20" ht="14.25">
      <c r="A335" s="7"/>
      <c r="B335" s="7"/>
      <c r="C335" s="7"/>
      <c r="D335" s="7"/>
      <c r="P335" s="21"/>
      <c r="R335" s="5"/>
      <c r="S335" s="5"/>
      <c r="T335" s="7"/>
    </row>
    <row r="336" spans="1:20" ht="14.25">
      <c r="A336" s="7"/>
      <c r="B336" s="7"/>
      <c r="C336" s="7"/>
      <c r="D336" s="7"/>
      <c r="P336" s="21"/>
      <c r="R336" s="5"/>
      <c r="S336" s="5"/>
      <c r="T336" s="7"/>
    </row>
    <row r="337" spans="1:20" ht="14.25">
      <c r="A337" s="7"/>
      <c r="B337" s="7"/>
      <c r="C337" s="7"/>
      <c r="D337" s="7"/>
      <c r="P337" s="21"/>
      <c r="R337" s="5"/>
      <c r="S337" s="5"/>
      <c r="T337" s="7"/>
    </row>
    <row r="338" spans="1:20" ht="14.25">
      <c r="A338" s="7"/>
      <c r="B338" s="7"/>
      <c r="C338" s="7"/>
      <c r="D338" s="7"/>
      <c r="P338" s="21"/>
      <c r="R338" s="5"/>
      <c r="S338" s="5"/>
      <c r="T338" s="7"/>
    </row>
    <row r="339" spans="1:20" ht="14.25">
      <c r="A339" s="7"/>
      <c r="B339" s="7"/>
      <c r="C339" s="7"/>
      <c r="D339" s="7"/>
      <c r="P339" s="21"/>
      <c r="R339" s="5"/>
      <c r="S339" s="5"/>
      <c r="T339" s="7"/>
    </row>
    <row r="340" spans="1:20" ht="14.25">
      <c r="A340" s="7"/>
      <c r="B340" s="7"/>
      <c r="C340" s="7"/>
      <c r="D340" s="7"/>
      <c r="P340" s="21"/>
      <c r="R340" s="5"/>
      <c r="S340" s="5"/>
      <c r="T340" s="7"/>
    </row>
    <row r="341" spans="1:20" ht="14.25">
      <c r="A341" s="7"/>
      <c r="B341" s="7"/>
      <c r="C341" s="7"/>
      <c r="D341" s="7"/>
      <c r="P341" s="21"/>
      <c r="R341" s="5"/>
      <c r="S341" s="5"/>
      <c r="T341" s="7"/>
    </row>
    <row r="342" spans="1:20" ht="14.25">
      <c r="A342" s="7"/>
      <c r="B342" s="7"/>
      <c r="C342" s="7"/>
      <c r="D342" s="7"/>
      <c r="P342" s="21"/>
      <c r="R342" s="5"/>
      <c r="S342" s="5"/>
      <c r="T342" s="7"/>
    </row>
    <row r="343" spans="1:20" ht="14.25">
      <c r="A343" s="7"/>
      <c r="B343" s="7"/>
      <c r="C343" s="7"/>
      <c r="D343" s="7"/>
      <c r="P343" s="21"/>
      <c r="R343" s="5"/>
      <c r="S343" s="5"/>
      <c r="T343" s="7"/>
    </row>
    <row r="344" spans="1:20" ht="14.25">
      <c r="A344" s="7"/>
      <c r="B344" s="7"/>
      <c r="C344" s="7"/>
      <c r="D344" s="7"/>
      <c r="P344" s="21"/>
      <c r="R344" s="5"/>
      <c r="S344" s="5"/>
      <c r="T344" s="7"/>
    </row>
    <row r="345" spans="1:20" ht="14.25">
      <c r="A345" s="7"/>
      <c r="B345" s="7"/>
      <c r="C345" s="7"/>
      <c r="D345" s="7"/>
      <c r="P345" s="21"/>
      <c r="R345" s="5"/>
      <c r="S345" s="5"/>
      <c r="T345" s="7"/>
    </row>
    <row r="346" spans="1:20" ht="14.25">
      <c r="A346" s="7"/>
      <c r="B346" s="7"/>
      <c r="C346" s="7"/>
      <c r="D346" s="7"/>
      <c r="P346" s="21"/>
      <c r="R346" s="5"/>
      <c r="S346" s="5"/>
      <c r="T346" s="7"/>
    </row>
    <row r="347" spans="1:20" ht="14.25">
      <c r="A347" s="7"/>
      <c r="B347" s="7"/>
      <c r="C347" s="7"/>
      <c r="D347" s="7"/>
      <c r="P347" s="21"/>
      <c r="R347" s="5"/>
      <c r="S347" s="5"/>
      <c r="T347" s="7"/>
    </row>
    <row r="348" spans="1:20" ht="14.25">
      <c r="A348" s="7"/>
      <c r="B348" s="7"/>
      <c r="C348" s="7"/>
      <c r="D348" s="7"/>
      <c r="P348" s="21"/>
      <c r="R348" s="5"/>
      <c r="S348" s="5"/>
      <c r="T348" s="7"/>
    </row>
    <row r="349" spans="1:20" ht="14.25">
      <c r="A349" s="7"/>
      <c r="B349" s="7"/>
      <c r="C349" s="7"/>
      <c r="D349" s="7"/>
      <c r="P349" s="21"/>
      <c r="R349" s="5"/>
      <c r="S349" s="5"/>
      <c r="T349" s="7"/>
    </row>
    <row r="350" spans="1:20" ht="14.25">
      <c r="A350" s="7"/>
      <c r="B350" s="7"/>
      <c r="C350" s="7"/>
      <c r="D350" s="7"/>
      <c r="P350" s="21"/>
      <c r="R350" s="5"/>
      <c r="S350" s="5"/>
      <c r="T350" s="7"/>
    </row>
    <row r="351" spans="1:20" ht="14.25">
      <c r="A351" s="7"/>
      <c r="B351" s="7"/>
      <c r="C351" s="7"/>
      <c r="D351" s="7"/>
      <c r="P351" s="21"/>
      <c r="R351" s="5"/>
      <c r="S351" s="5"/>
      <c r="T351" s="7"/>
    </row>
    <row r="352" spans="1:20" ht="14.25">
      <c r="A352" s="7"/>
      <c r="B352" s="7"/>
      <c r="C352" s="7"/>
      <c r="D352" s="7"/>
      <c r="P352" s="21"/>
      <c r="R352" s="5"/>
      <c r="S352" s="5"/>
      <c r="T352" s="7"/>
    </row>
    <row r="353" spans="1:20" ht="14.25">
      <c r="A353" s="7"/>
      <c r="B353" s="7"/>
      <c r="C353" s="7"/>
      <c r="D353" s="7"/>
      <c r="P353" s="21"/>
      <c r="R353" s="5"/>
      <c r="S353" s="5"/>
      <c r="T353" s="7"/>
    </row>
    <row r="354" spans="1:20" ht="14.25">
      <c r="A354" s="7"/>
      <c r="B354" s="7"/>
      <c r="C354" s="7"/>
      <c r="D354" s="7"/>
      <c r="P354" s="21"/>
      <c r="R354" s="5"/>
      <c r="S354" s="5"/>
      <c r="T354" s="7"/>
    </row>
    <row r="355" spans="1:20" ht="14.25">
      <c r="A355" s="7"/>
      <c r="B355" s="7"/>
      <c r="C355" s="7"/>
      <c r="D355" s="7"/>
      <c r="P355" s="21"/>
      <c r="R355" s="5"/>
      <c r="S355" s="5"/>
      <c r="T355" s="7"/>
    </row>
    <row r="356" spans="1:20" ht="14.25">
      <c r="A356" s="7"/>
      <c r="B356" s="7"/>
      <c r="C356" s="7"/>
      <c r="D356" s="7"/>
      <c r="P356" s="21"/>
      <c r="R356" s="5"/>
      <c r="S356" s="5"/>
      <c r="T356" s="7"/>
    </row>
    <row r="357" spans="1:20" ht="14.25">
      <c r="A357" s="7"/>
      <c r="B357" s="7"/>
      <c r="C357" s="7"/>
      <c r="D357" s="7"/>
      <c r="P357" s="21"/>
      <c r="R357" s="5"/>
      <c r="S357" s="5"/>
      <c r="T357" s="7"/>
    </row>
    <row r="358" spans="1:20" ht="14.25">
      <c r="A358" s="7"/>
      <c r="B358" s="7"/>
      <c r="C358" s="7"/>
      <c r="D358" s="7"/>
      <c r="P358" s="21"/>
      <c r="R358" s="5"/>
      <c r="S358" s="5"/>
      <c r="T358" s="7"/>
    </row>
    <row r="359" spans="1:20" ht="14.25">
      <c r="A359" s="7"/>
      <c r="B359" s="7"/>
      <c r="C359" s="7"/>
      <c r="D359" s="7"/>
      <c r="P359" s="21"/>
      <c r="R359" s="5"/>
      <c r="S359" s="5"/>
      <c r="T359" s="7"/>
    </row>
    <row r="360" spans="1:20" ht="14.25">
      <c r="A360" s="7"/>
      <c r="B360" s="7"/>
      <c r="C360" s="7"/>
      <c r="D360" s="7"/>
      <c r="P360" s="21"/>
      <c r="R360" s="5"/>
      <c r="S360" s="5"/>
      <c r="T360" s="7"/>
    </row>
    <row r="361" spans="1:20" ht="14.25">
      <c r="A361" s="7"/>
      <c r="B361" s="7"/>
      <c r="C361" s="7"/>
      <c r="D361" s="7"/>
      <c r="P361" s="21"/>
      <c r="R361" s="5"/>
      <c r="S361" s="5"/>
      <c r="T361" s="7"/>
    </row>
    <row r="362" spans="1:20" ht="14.25">
      <c r="A362" s="7"/>
      <c r="B362" s="7"/>
      <c r="C362" s="7"/>
      <c r="D362" s="7"/>
      <c r="P362" s="21"/>
      <c r="R362" s="5"/>
      <c r="S362" s="5"/>
      <c r="T362" s="7"/>
    </row>
    <row r="363" spans="1:20" ht="14.25">
      <c r="A363" s="7"/>
      <c r="B363" s="7"/>
      <c r="C363" s="7"/>
      <c r="D363" s="7"/>
      <c r="P363" s="21"/>
      <c r="R363" s="5"/>
      <c r="S363" s="5"/>
      <c r="T363" s="7"/>
    </row>
    <row r="364" spans="1:20" ht="14.25">
      <c r="A364" s="7"/>
      <c r="B364" s="7"/>
      <c r="C364" s="7"/>
      <c r="D364" s="7"/>
      <c r="P364" s="21"/>
      <c r="R364" s="5"/>
      <c r="S364" s="5"/>
      <c r="T364" s="7"/>
    </row>
    <row r="365" spans="1:20" ht="14.25">
      <c r="A365" s="7"/>
      <c r="B365" s="7"/>
      <c r="C365" s="7"/>
      <c r="D365" s="7"/>
      <c r="P365" s="21"/>
      <c r="R365" s="5"/>
      <c r="S365" s="5"/>
      <c r="T365" s="7"/>
    </row>
    <row r="366" spans="1:20" ht="14.25">
      <c r="A366" s="7"/>
      <c r="B366" s="7"/>
      <c r="C366" s="7"/>
      <c r="D366" s="7"/>
      <c r="P366" s="21"/>
      <c r="R366" s="5"/>
      <c r="S366" s="5"/>
      <c r="T366" s="7"/>
    </row>
    <row r="367" spans="1:20" ht="14.25">
      <c r="A367" s="7"/>
      <c r="B367" s="7"/>
      <c r="C367" s="7"/>
      <c r="D367" s="7"/>
      <c r="P367" s="21"/>
      <c r="R367" s="5"/>
      <c r="S367" s="5"/>
      <c r="T367" s="7"/>
    </row>
    <row r="368" spans="1:20" ht="14.25">
      <c r="A368" s="7"/>
      <c r="B368" s="7"/>
      <c r="C368" s="7"/>
      <c r="D368" s="7"/>
      <c r="P368" s="21"/>
      <c r="R368" s="5"/>
      <c r="S368" s="5"/>
      <c r="T368" s="7"/>
    </row>
    <row r="369" spans="1:20" ht="14.25">
      <c r="A369" s="7"/>
      <c r="B369" s="7"/>
      <c r="C369" s="7"/>
      <c r="D369" s="7"/>
      <c r="P369" s="21"/>
      <c r="R369" s="5"/>
      <c r="S369" s="5"/>
      <c r="T369" s="7"/>
    </row>
    <row r="370" spans="1:20" ht="14.25">
      <c r="A370" s="7"/>
      <c r="B370" s="7"/>
      <c r="C370" s="7"/>
      <c r="D370" s="7"/>
      <c r="P370" s="21"/>
      <c r="R370" s="5"/>
      <c r="S370" s="5"/>
      <c r="T370" s="7"/>
    </row>
    <row r="371" spans="1:20" ht="14.25">
      <c r="A371" s="7"/>
      <c r="B371" s="7"/>
      <c r="C371" s="7"/>
      <c r="D371" s="7"/>
      <c r="P371" s="21"/>
      <c r="R371" s="5"/>
      <c r="S371" s="5"/>
      <c r="T371" s="7"/>
    </row>
    <row r="372" spans="1:20" ht="14.25">
      <c r="A372" s="7"/>
      <c r="B372" s="7"/>
      <c r="C372" s="7"/>
      <c r="D372" s="7"/>
      <c r="P372" s="21"/>
      <c r="R372" s="5"/>
      <c r="S372" s="5"/>
      <c r="T372" s="7"/>
    </row>
    <row r="373" spans="1:20" ht="14.25">
      <c r="A373" s="7"/>
      <c r="B373" s="7"/>
      <c r="C373" s="7"/>
      <c r="D373" s="7"/>
      <c r="P373" s="21"/>
      <c r="R373" s="5"/>
      <c r="S373" s="5"/>
      <c r="T373" s="7"/>
    </row>
    <row r="374" spans="1:20" ht="14.25">
      <c r="A374" s="7"/>
      <c r="B374" s="7"/>
      <c r="C374" s="7"/>
      <c r="D374" s="7"/>
      <c r="P374" s="21"/>
      <c r="R374" s="5"/>
      <c r="S374" s="5"/>
      <c r="T374" s="7"/>
    </row>
    <row r="375" spans="1:20" ht="14.25">
      <c r="A375" s="7"/>
      <c r="B375" s="7"/>
      <c r="C375" s="7"/>
      <c r="D375" s="7"/>
      <c r="P375" s="21"/>
      <c r="R375" s="5"/>
      <c r="S375" s="5"/>
      <c r="T375" s="7"/>
    </row>
    <row r="376" spans="1:20" ht="14.25">
      <c r="A376" s="7"/>
      <c r="B376" s="7"/>
      <c r="C376" s="7"/>
      <c r="D376" s="7"/>
      <c r="P376" s="21"/>
      <c r="R376" s="5"/>
      <c r="S376" s="5"/>
      <c r="T376" s="7"/>
    </row>
    <row r="377" spans="1:20" ht="14.25">
      <c r="A377" s="7"/>
      <c r="B377" s="7"/>
      <c r="C377" s="7"/>
      <c r="D377" s="7"/>
      <c r="P377" s="21"/>
      <c r="R377" s="5"/>
      <c r="S377" s="5"/>
      <c r="T377" s="7"/>
    </row>
    <row r="378" spans="1:20" ht="14.25">
      <c r="A378" s="7"/>
      <c r="B378" s="7"/>
      <c r="C378" s="7"/>
      <c r="D378" s="7"/>
      <c r="P378" s="21"/>
      <c r="R378" s="5"/>
      <c r="S378" s="5"/>
      <c r="T378" s="7"/>
    </row>
    <row r="379" spans="1:20" ht="14.25">
      <c r="A379" s="7"/>
      <c r="B379" s="7"/>
      <c r="C379" s="7"/>
      <c r="D379" s="7"/>
      <c r="P379" s="21"/>
      <c r="R379" s="5"/>
      <c r="S379" s="5"/>
      <c r="T379" s="7"/>
    </row>
    <row r="380" spans="1:20" ht="14.25">
      <c r="A380" s="7"/>
      <c r="B380" s="7"/>
      <c r="C380" s="7"/>
      <c r="D380" s="7"/>
      <c r="P380" s="21"/>
      <c r="R380" s="5"/>
      <c r="S380" s="5"/>
      <c r="T380" s="7"/>
    </row>
    <row r="381" spans="1:20" ht="14.25">
      <c r="A381" s="7"/>
      <c r="B381" s="7"/>
      <c r="C381" s="7"/>
      <c r="D381" s="7"/>
      <c r="P381" s="21"/>
      <c r="R381" s="5"/>
      <c r="S381" s="5"/>
      <c r="T381" s="7"/>
    </row>
    <row r="382" spans="1:20" ht="14.25">
      <c r="A382" s="7"/>
      <c r="B382" s="7"/>
      <c r="C382" s="7"/>
      <c r="D382" s="7"/>
      <c r="P382" s="21"/>
      <c r="R382" s="5"/>
      <c r="S382" s="5"/>
      <c r="T382" s="7"/>
    </row>
    <row r="383" spans="1:20" ht="14.25">
      <c r="A383" s="7"/>
      <c r="B383" s="7"/>
      <c r="C383" s="7"/>
      <c r="D383" s="7"/>
      <c r="P383" s="21"/>
      <c r="R383" s="5"/>
      <c r="S383" s="5"/>
      <c r="T383" s="7"/>
    </row>
    <row r="384" spans="1:20" ht="14.25">
      <c r="A384" s="7"/>
      <c r="B384" s="7"/>
      <c r="C384" s="7"/>
      <c r="D384" s="7"/>
      <c r="P384" s="21"/>
      <c r="R384" s="5"/>
      <c r="S384" s="5"/>
      <c r="T384" s="7"/>
    </row>
    <row r="385" spans="1:20" ht="14.25">
      <c r="A385" s="7"/>
      <c r="B385" s="7"/>
      <c r="C385" s="7"/>
      <c r="D385" s="7"/>
      <c r="P385" s="21"/>
      <c r="R385" s="5"/>
      <c r="S385" s="5"/>
      <c r="T385" s="7"/>
    </row>
    <row r="386" spans="1:20" ht="14.25">
      <c r="A386" s="7"/>
      <c r="B386" s="7"/>
      <c r="C386" s="7"/>
      <c r="D386" s="7"/>
      <c r="P386" s="21"/>
      <c r="R386" s="5"/>
      <c r="S386" s="5"/>
      <c r="T386" s="7"/>
    </row>
    <row r="387" spans="1:20" ht="14.25">
      <c r="A387" s="7"/>
      <c r="B387" s="7"/>
      <c r="C387" s="7"/>
      <c r="D387" s="7"/>
      <c r="P387" s="21"/>
      <c r="R387" s="5"/>
      <c r="S387" s="5"/>
      <c r="T387" s="7"/>
    </row>
    <row r="388" spans="1:20" ht="14.25">
      <c r="A388" s="7"/>
      <c r="B388" s="7"/>
      <c r="C388" s="7"/>
      <c r="D388" s="7"/>
      <c r="P388" s="21"/>
      <c r="R388" s="5"/>
      <c r="S388" s="5"/>
      <c r="T388" s="7"/>
    </row>
    <row r="389" spans="1:20" ht="14.25">
      <c r="A389" s="7"/>
      <c r="B389" s="7"/>
      <c r="C389" s="7"/>
      <c r="D389" s="7"/>
      <c r="P389" s="21"/>
      <c r="R389" s="5"/>
      <c r="S389" s="5"/>
      <c r="T389" s="7"/>
    </row>
    <row r="390" spans="1:20" ht="14.25">
      <c r="A390" s="7"/>
      <c r="B390" s="7"/>
      <c r="C390" s="7"/>
      <c r="D390" s="7"/>
      <c r="P390" s="21"/>
      <c r="R390" s="5"/>
      <c r="S390" s="5"/>
      <c r="T390" s="7"/>
    </row>
    <row r="391" spans="1:20" ht="14.25">
      <c r="A391" s="7"/>
      <c r="B391" s="7"/>
      <c r="C391" s="7"/>
      <c r="D391" s="7"/>
      <c r="P391" s="21"/>
      <c r="R391" s="5"/>
      <c r="S391" s="5"/>
      <c r="T391" s="7"/>
    </row>
    <row r="392" spans="1:20" ht="14.25">
      <c r="A392" s="7"/>
      <c r="B392" s="7"/>
      <c r="C392" s="7"/>
      <c r="D392" s="7"/>
      <c r="P392" s="21"/>
      <c r="R392" s="5"/>
      <c r="S392" s="5"/>
      <c r="T392" s="7"/>
    </row>
    <row r="393" spans="1:20" ht="14.25">
      <c r="A393" s="7"/>
      <c r="B393" s="7"/>
      <c r="C393" s="7"/>
      <c r="D393" s="7"/>
      <c r="P393" s="21"/>
      <c r="R393" s="5"/>
      <c r="S393" s="5"/>
      <c r="T393" s="7"/>
    </row>
    <row r="394" spans="1:20" ht="14.25">
      <c r="A394" s="7"/>
      <c r="B394" s="7"/>
      <c r="C394" s="7"/>
      <c r="D394" s="7"/>
      <c r="P394" s="21"/>
      <c r="R394" s="5"/>
      <c r="S394" s="5"/>
      <c r="T394" s="7"/>
    </row>
    <row r="395" spans="1:20" ht="14.25">
      <c r="A395" s="7"/>
      <c r="B395" s="7"/>
      <c r="C395" s="7"/>
      <c r="D395" s="7"/>
      <c r="P395" s="21"/>
      <c r="R395" s="5"/>
      <c r="S395" s="5"/>
      <c r="T395" s="7"/>
    </row>
    <row r="396" spans="1:20" ht="14.25">
      <c r="A396" s="7"/>
      <c r="B396" s="7"/>
      <c r="C396" s="7"/>
      <c r="D396" s="7"/>
      <c r="P396" s="21"/>
      <c r="R396" s="5"/>
      <c r="S396" s="5"/>
      <c r="T396" s="7"/>
    </row>
    <row r="397" spans="1:20" ht="14.25">
      <c r="A397" s="7"/>
      <c r="B397" s="7"/>
      <c r="C397" s="7"/>
      <c r="D397" s="7"/>
      <c r="P397" s="21"/>
      <c r="R397" s="5"/>
      <c r="S397" s="5"/>
      <c r="T397" s="7"/>
    </row>
    <row r="398" spans="1:20" ht="14.25">
      <c r="A398" s="7"/>
      <c r="B398" s="7"/>
      <c r="C398" s="7"/>
      <c r="D398" s="7"/>
      <c r="P398" s="21"/>
      <c r="R398" s="5"/>
      <c r="S398" s="5"/>
      <c r="T398" s="7"/>
    </row>
    <row r="399" spans="1:20" ht="14.25">
      <c r="A399" s="7"/>
      <c r="B399" s="7"/>
      <c r="C399" s="7"/>
      <c r="D399" s="7"/>
      <c r="P399" s="21"/>
      <c r="R399" s="5"/>
      <c r="S399" s="5"/>
      <c r="T399" s="7"/>
    </row>
    <row r="400" spans="1:20" ht="14.25">
      <c r="A400" s="7"/>
      <c r="B400" s="7"/>
      <c r="C400" s="7"/>
      <c r="D400" s="7"/>
      <c r="P400" s="21"/>
      <c r="R400" s="5"/>
      <c r="S400" s="5"/>
      <c r="T400" s="7"/>
    </row>
    <row r="401" spans="1:20" ht="14.25">
      <c r="A401" s="7"/>
      <c r="B401" s="7"/>
      <c r="C401" s="7"/>
      <c r="D401" s="7"/>
      <c r="P401" s="21"/>
      <c r="R401" s="5"/>
      <c r="S401" s="5"/>
      <c r="T401" s="7"/>
    </row>
    <row r="402" spans="1:20" ht="14.25">
      <c r="A402" s="7"/>
      <c r="B402" s="7"/>
      <c r="C402" s="7"/>
      <c r="D402" s="7"/>
      <c r="P402" s="21"/>
      <c r="R402" s="5"/>
      <c r="S402" s="5"/>
      <c r="T402" s="7"/>
    </row>
    <row r="403" spans="1:20" ht="14.25">
      <c r="A403" s="7"/>
      <c r="B403" s="7"/>
      <c r="C403" s="7"/>
      <c r="D403" s="7"/>
      <c r="P403" s="21"/>
      <c r="R403" s="5"/>
      <c r="S403" s="5"/>
      <c r="T403" s="7"/>
    </row>
    <row r="404" spans="1:20" ht="14.25">
      <c r="A404" s="7"/>
      <c r="B404" s="7"/>
      <c r="C404" s="7"/>
      <c r="D404" s="7"/>
      <c r="P404" s="21"/>
      <c r="R404" s="5"/>
      <c r="S404" s="5"/>
      <c r="T404" s="7"/>
    </row>
    <row r="405" spans="1:20" ht="14.25">
      <c r="A405" s="7"/>
      <c r="B405" s="7"/>
      <c r="C405" s="7"/>
      <c r="D405" s="7"/>
      <c r="P405" s="21"/>
      <c r="R405" s="5"/>
      <c r="S405" s="5"/>
      <c r="T405" s="7"/>
    </row>
    <row r="406" spans="1:20" ht="14.25">
      <c r="A406" s="7"/>
      <c r="B406" s="7"/>
      <c r="C406" s="7"/>
      <c r="D406" s="7"/>
      <c r="P406" s="21"/>
      <c r="R406" s="5"/>
      <c r="S406" s="5"/>
      <c r="T406" s="7"/>
    </row>
    <row r="407" spans="1:20" ht="14.25">
      <c r="A407" s="7"/>
      <c r="B407" s="7"/>
      <c r="C407" s="7"/>
      <c r="D407" s="7"/>
      <c r="P407" s="21"/>
      <c r="R407" s="5"/>
      <c r="S407" s="5"/>
      <c r="T407" s="7"/>
    </row>
    <row r="408" spans="1:20" ht="14.25">
      <c r="A408" s="7"/>
      <c r="B408" s="7"/>
      <c r="C408" s="7"/>
      <c r="D408" s="7"/>
      <c r="P408" s="21"/>
      <c r="R408" s="5"/>
      <c r="S408" s="5"/>
      <c r="T408" s="7"/>
    </row>
    <row r="409" spans="1:20" ht="14.25">
      <c r="A409" s="7"/>
      <c r="B409" s="7"/>
      <c r="C409" s="7"/>
      <c r="D409" s="7"/>
      <c r="P409" s="21"/>
      <c r="R409" s="5"/>
      <c r="S409" s="5"/>
      <c r="T409" s="7"/>
    </row>
    <row r="410" spans="1:20" ht="14.25">
      <c r="A410" s="7"/>
      <c r="B410" s="7"/>
      <c r="C410" s="7"/>
      <c r="D410" s="7"/>
      <c r="P410" s="21"/>
      <c r="R410" s="5"/>
      <c r="S410" s="5"/>
      <c r="T410" s="7"/>
    </row>
    <row r="411" spans="1:20" ht="14.25">
      <c r="A411" s="7"/>
      <c r="B411" s="7"/>
      <c r="C411" s="7"/>
      <c r="D411" s="7"/>
      <c r="P411" s="21"/>
      <c r="R411" s="5"/>
      <c r="S411" s="5"/>
      <c r="T411" s="7"/>
    </row>
    <row r="412" spans="1:20" ht="14.25">
      <c r="A412" s="7"/>
      <c r="B412" s="7"/>
      <c r="C412" s="7"/>
      <c r="D412" s="7"/>
      <c r="P412" s="21"/>
      <c r="R412" s="5"/>
      <c r="S412" s="5"/>
      <c r="T412" s="7"/>
    </row>
    <row r="413" spans="1:20" ht="14.25">
      <c r="A413" s="7"/>
      <c r="B413" s="7"/>
      <c r="C413" s="7"/>
      <c r="D413" s="7"/>
      <c r="P413" s="21"/>
      <c r="R413" s="5"/>
      <c r="S413" s="5"/>
      <c r="T413" s="7"/>
    </row>
    <row r="414" spans="1:20" ht="14.25">
      <c r="A414" s="7"/>
      <c r="B414" s="7"/>
      <c r="C414" s="7"/>
      <c r="D414" s="7"/>
      <c r="P414" s="21"/>
      <c r="R414" s="5"/>
      <c r="S414" s="5"/>
      <c r="T414" s="7"/>
    </row>
    <row r="415" spans="1:20" ht="14.25">
      <c r="A415" s="7"/>
      <c r="B415" s="7"/>
      <c r="C415" s="7"/>
      <c r="D415" s="7"/>
      <c r="P415" s="21"/>
      <c r="R415" s="5"/>
      <c r="S415" s="5"/>
      <c r="T415" s="7"/>
    </row>
    <row r="416" spans="1:20" ht="14.25">
      <c r="A416" s="7"/>
      <c r="B416" s="7"/>
      <c r="C416" s="7"/>
      <c r="D416" s="7"/>
      <c r="P416" s="21"/>
      <c r="R416" s="5"/>
      <c r="S416" s="5"/>
      <c r="T416" s="7"/>
    </row>
    <row r="417" spans="1:20" ht="14.25">
      <c r="A417" s="7"/>
      <c r="B417" s="7"/>
      <c r="C417" s="7"/>
      <c r="D417" s="7"/>
      <c r="P417" s="21"/>
      <c r="R417" s="5"/>
      <c r="S417" s="5"/>
      <c r="T417" s="7"/>
    </row>
    <row r="418" spans="1:20" ht="14.25">
      <c r="A418" s="7"/>
      <c r="B418" s="7"/>
      <c r="C418" s="7"/>
      <c r="D418" s="7"/>
      <c r="P418" s="21"/>
      <c r="R418" s="5"/>
      <c r="S418" s="5"/>
      <c r="T418" s="7"/>
    </row>
    <row r="419" spans="1:20" ht="14.25">
      <c r="A419" s="7"/>
      <c r="B419" s="7"/>
      <c r="C419" s="7"/>
      <c r="D419" s="7"/>
      <c r="P419" s="21"/>
      <c r="R419" s="5"/>
      <c r="S419" s="5"/>
      <c r="T419" s="7"/>
    </row>
    <row r="420" spans="1:20" ht="14.25">
      <c r="A420" s="7"/>
      <c r="B420" s="7"/>
      <c r="C420" s="7"/>
      <c r="D420" s="7"/>
      <c r="P420" s="21"/>
      <c r="R420" s="5"/>
      <c r="S420" s="5"/>
      <c r="T420" s="7"/>
    </row>
    <row r="421" spans="1:20" ht="14.25">
      <c r="A421" s="7"/>
      <c r="B421" s="7"/>
      <c r="C421" s="7"/>
      <c r="D421" s="7"/>
      <c r="P421" s="21"/>
      <c r="R421" s="5"/>
      <c r="S421" s="5"/>
      <c r="T421" s="7"/>
    </row>
    <row r="422" spans="1:20" ht="14.25">
      <c r="A422" s="7"/>
      <c r="B422" s="7"/>
      <c r="C422" s="7"/>
      <c r="D422" s="7"/>
      <c r="P422" s="21"/>
      <c r="R422" s="5"/>
      <c r="S422" s="5"/>
      <c r="T422" s="7"/>
    </row>
    <row r="423" spans="1:20" ht="14.25">
      <c r="A423" s="7"/>
      <c r="B423" s="7"/>
      <c r="C423" s="7"/>
      <c r="D423" s="7"/>
      <c r="P423" s="21"/>
      <c r="R423" s="5"/>
      <c r="S423" s="5"/>
      <c r="T423" s="7"/>
    </row>
    <row r="424" spans="1:20" ht="14.25">
      <c r="A424" s="7"/>
      <c r="B424" s="7"/>
      <c r="C424" s="7"/>
      <c r="D424" s="7"/>
      <c r="P424" s="21"/>
      <c r="R424" s="5"/>
      <c r="S424" s="5"/>
      <c r="T424" s="7"/>
    </row>
    <row r="425" spans="1:20" ht="14.25">
      <c r="A425" s="7"/>
      <c r="B425" s="7"/>
      <c r="C425" s="7"/>
      <c r="D425" s="7"/>
      <c r="P425" s="21"/>
      <c r="R425" s="5"/>
      <c r="S425" s="5"/>
      <c r="T425" s="7"/>
    </row>
    <row r="426" spans="1:20" ht="14.25">
      <c r="A426" s="7"/>
      <c r="B426" s="7"/>
      <c r="C426" s="7"/>
      <c r="D426" s="7"/>
      <c r="P426" s="21"/>
      <c r="R426" s="5"/>
      <c r="S426" s="5"/>
      <c r="T426" s="7"/>
    </row>
    <row r="427" spans="1:20" ht="14.25">
      <c r="A427" s="7"/>
      <c r="B427" s="7"/>
      <c r="C427" s="7"/>
      <c r="D427" s="7"/>
      <c r="P427" s="21"/>
      <c r="R427" s="5"/>
      <c r="S427" s="5"/>
      <c r="T427" s="7"/>
    </row>
    <row r="428" spans="1:20" ht="14.25">
      <c r="A428" s="7"/>
      <c r="B428" s="7"/>
      <c r="C428" s="7"/>
      <c r="D428" s="7"/>
      <c r="P428" s="21"/>
      <c r="R428" s="5"/>
      <c r="S428" s="5"/>
      <c r="T428" s="7"/>
    </row>
    <row r="429" spans="1:20" ht="14.25">
      <c r="A429" s="7"/>
      <c r="B429" s="7"/>
      <c r="C429" s="7"/>
      <c r="D429" s="7"/>
      <c r="P429" s="21"/>
      <c r="R429" s="5"/>
      <c r="S429" s="5"/>
      <c r="T429" s="7"/>
    </row>
    <row r="430" spans="1:20" ht="14.25">
      <c r="A430" s="7"/>
      <c r="B430" s="7"/>
      <c r="C430" s="7"/>
      <c r="D430" s="7"/>
      <c r="P430" s="21"/>
      <c r="R430" s="5"/>
      <c r="S430" s="5"/>
      <c r="T430" s="7"/>
    </row>
    <row r="431" spans="1:20" ht="14.25">
      <c r="A431" s="7"/>
      <c r="B431" s="7"/>
      <c r="C431" s="7"/>
      <c r="D431" s="7"/>
      <c r="P431" s="21"/>
      <c r="R431" s="5"/>
      <c r="S431" s="5"/>
      <c r="T431" s="7"/>
    </row>
    <row r="432" spans="1:20" ht="14.25">
      <c r="A432" s="7"/>
      <c r="B432" s="7"/>
      <c r="C432" s="7"/>
      <c r="D432" s="7"/>
      <c r="P432" s="21"/>
      <c r="R432" s="5"/>
      <c r="S432" s="5"/>
      <c r="T432" s="7"/>
    </row>
    <row r="433" spans="1:20" ht="14.25">
      <c r="A433" s="7"/>
      <c r="B433" s="7"/>
      <c r="C433" s="7"/>
      <c r="D433" s="7"/>
      <c r="P433" s="21"/>
      <c r="R433" s="5"/>
      <c r="S433" s="5"/>
      <c r="T433" s="7"/>
    </row>
    <row r="434" spans="1:20" ht="14.25">
      <c r="A434" s="7"/>
      <c r="B434" s="7"/>
      <c r="C434" s="7"/>
      <c r="D434" s="7"/>
      <c r="P434" s="21"/>
      <c r="R434" s="5"/>
      <c r="S434" s="5"/>
      <c r="T434" s="7"/>
    </row>
    <row r="435" spans="1:20" ht="14.25">
      <c r="A435" s="7"/>
      <c r="B435" s="7"/>
      <c r="C435" s="7"/>
      <c r="D435" s="7"/>
      <c r="P435" s="21"/>
      <c r="R435" s="5"/>
      <c r="S435" s="5"/>
      <c r="T435" s="7"/>
    </row>
    <row r="436" spans="1:20" ht="14.25">
      <c r="A436" s="7"/>
      <c r="B436" s="7"/>
      <c r="C436" s="7"/>
      <c r="D436" s="7"/>
      <c r="P436" s="21"/>
      <c r="R436" s="5"/>
      <c r="S436" s="5"/>
      <c r="T436" s="7"/>
    </row>
    <row r="437" spans="1:20" ht="14.25">
      <c r="A437" s="7"/>
      <c r="B437" s="7"/>
      <c r="C437" s="7"/>
      <c r="D437" s="7"/>
      <c r="P437" s="21"/>
      <c r="R437" s="5"/>
      <c r="S437" s="5"/>
      <c r="T437" s="7"/>
    </row>
    <row r="438" spans="1:20" ht="14.25">
      <c r="A438" s="7"/>
      <c r="B438" s="7"/>
      <c r="C438" s="7"/>
      <c r="D438" s="7"/>
      <c r="P438" s="21"/>
      <c r="R438" s="5"/>
      <c r="S438" s="5"/>
      <c r="T438" s="7"/>
    </row>
    <row r="439" spans="1:20" ht="14.25">
      <c r="A439" s="7"/>
      <c r="B439" s="7"/>
      <c r="C439" s="7"/>
      <c r="D439" s="7"/>
      <c r="P439" s="21"/>
      <c r="R439" s="5"/>
      <c r="S439" s="5"/>
      <c r="T439" s="7"/>
    </row>
    <row r="440" spans="1:20" ht="14.25">
      <c r="A440" s="7"/>
      <c r="B440" s="7"/>
      <c r="C440" s="7"/>
      <c r="D440" s="7"/>
      <c r="P440" s="21"/>
      <c r="R440" s="5"/>
      <c r="S440" s="5"/>
      <c r="T440" s="7"/>
    </row>
    <row r="441" spans="1:20" ht="14.25">
      <c r="A441" s="7"/>
      <c r="B441" s="7"/>
      <c r="C441" s="7"/>
      <c r="D441" s="7"/>
      <c r="P441" s="21"/>
      <c r="R441" s="5"/>
      <c r="S441" s="5"/>
      <c r="T441" s="7"/>
    </row>
    <row r="442" spans="1:20" ht="14.25">
      <c r="A442" s="7"/>
      <c r="B442" s="7"/>
      <c r="C442" s="7"/>
      <c r="D442" s="7"/>
      <c r="P442" s="21"/>
      <c r="R442" s="5"/>
      <c r="S442" s="5"/>
      <c r="T442" s="7"/>
    </row>
    <row r="443" spans="1:20" ht="14.25">
      <c r="A443" s="7"/>
      <c r="B443" s="7"/>
      <c r="C443" s="7"/>
      <c r="D443" s="7"/>
      <c r="P443" s="21"/>
      <c r="R443" s="5"/>
      <c r="S443" s="5"/>
      <c r="T443" s="7"/>
    </row>
    <row r="444" spans="1:20" ht="14.25">
      <c r="A444" s="7"/>
      <c r="B444" s="7"/>
      <c r="C444" s="7"/>
      <c r="D444" s="7"/>
      <c r="P444" s="21"/>
      <c r="R444" s="5"/>
      <c r="S444" s="5"/>
      <c r="T444" s="7"/>
    </row>
    <row r="445" spans="1:20" ht="14.25">
      <c r="A445" s="7"/>
      <c r="B445" s="7"/>
      <c r="C445" s="7"/>
      <c r="D445" s="7"/>
      <c r="P445" s="21"/>
      <c r="R445" s="5"/>
      <c r="S445" s="5"/>
      <c r="T445" s="7"/>
    </row>
    <row r="446" spans="1:20" ht="14.25">
      <c r="A446" s="7"/>
      <c r="B446" s="7"/>
      <c r="C446" s="7"/>
      <c r="D446" s="7"/>
      <c r="P446" s="21"/>
      <c r="R446" s="5"/>
      <c r="S446" s="5"/>
      <c r="T446" s="7"/>
    </row>
    <row r="447" spans="1:20" ht="14.25">
      <c r="A447" s="7"/>
      <c r="B447" s="7"/>
      <c r="C447" s="7"/>
      <c r="D447" s="7"/>
      <c r="P447" s="21"/>
      <c r="R447" s="5"/>
      <c r="S447" s="5"/>
      <c r="T447" s="7"/>
    </row>
    <row r="448" spans="1:20" ht="14.25">
      <c r="A448" s="7"/>
      <c r="B448" s="7"/>
      <c r="C448" s="7"/>
      <c r="D448" s="7"/>
      <c r="P448" s="21"/>
      <c r="R448" s="5"/>
      <c r="S448" s="5"/>
      <c r="T448" s="7"/>
    </row>
    <row r="449" spans="1:20" ht="14.25">
      <c r="A449" s="7"/>
      <c r="B449" s="7"/>
      <c r="C449" s="7"/>
      <c r="D449" s="7"/>
      <c r="P449" s="21"/>
      <c r="R449" s="5"/>
      <c r="S449" s="5"/>
      <c r="T449" s="7"/>
    </row>
    <row r="450" spans="1:20" ht="14.25">
      <c r="A450" s="7"/>
      <c r="B450" s="7"/>
      <c r="C450" s="7"/>
      <c r="D450" s="7"/>
      <c r="P450" s="21"/>
      <c r="R450" s="5"/>
      <c r="S450" s="5"/>
      <c r="T450" s="7"/>
    </row>
    <row r="451" spans="1:20" ht="14.25">
      <c r="A451" s="7"/>
      <c r="B451" s="7"/>
      <c r="C451" s="7"/>
      <c r="D451" s="7"/>
      <c r="P451" s="21"/>
      <c r="R451" s="5"/>
      <c r="S451" s="5"/>
      <c r="T451" s="7"/>
    </row>
    <row r="452" spans="1:20" ht="14.25">
      <c r="A452" s="7"/>
      <c r="B452" s="7"/>
      <c r="C452" s="7"/>
      <c r="D452" s="7"/>
      <c r="P452" s="21"/>
      <c r="R452" s="5"/>
      <c r="S452" s="5"/>
      <c r="T452" s="7"/>
    </row>
    <row r="453" spans="1:20" ht="14.25">
      <c r="A453" s="7"/>
      <c r="B453" s="7"/>
      <c r="C453" s="7"/>
      <c r="D453" s="7"/>
      <c r="P453" s="21"/>
      <c r="R453" s="5"/>
      <c r="S453" s="5"/>
      <c r="T453" s="7"/>
    </row>
    <row r="454" spans="1:20" ht="14.25">
      <c r="A454" s="7"/>
      <c r="B454" s="7"/>
      <c r="C454" s="7"/>
      <c r="D454" s="7"/>
      <c r="P454" s="21"/>
      <c r="R454" s="5"/>
      <c r="S454" s="5"/>
      <c r="T454" s="7"/>
    </row>
    <row r="455" spans="1:20" ht="14.25">
      <c r="A455" s="7"/>
      <c r="B455" s="7"/>
      <c r="C455" s="7"/>
      <c r="D455" s="7"/>
      <c r="P455" s="21"/>
      <c r="R455" s="5"/>
      <c r="S455" s="5"/>
      <c r="T455" s="7"/>
    </row>
    <row r="456" spans="1:20" ht="14.25">
      <c r="A456" s="7"/>
      <c r="B456" s="7"/>
      <c r="C456" s="7"/>
      <c r="D456" s="7"/>
      <c r="P456" s="21"/>
      <c r="R456" s="5"/>
      <c r="S456" s="5"/>
      <c r="T456" s="7"/>
    </row>
    <row r="457" spans="1:20" ht="14.25">
      <c r="A457" s="7"/>
      <c r="B457" s="7"/>
      <c r="C457" s="7"/>
      <c r="D457" s="7"/>
      <c r="P457" s="21"/>
      <c r="R457" s="5"/>
      <c r="S457" s="5"/>
      <c r="T457" s="7"/>
    </row>
    <row r="458" spans="1:20" ht="14.25">
      <c r="A458" s="7"/>
      <c r="B458" s="7"/>
      <c r="C458" s="7"/>
      <c r="D458" s="7"/>
      <c r="P458" s="21"/>
      <c r="R458" s="5"/>
      <c r="S458" s="5"/>
      <c r="T458" s="7"/>
    </row>
    <row r="459" spans="1:20" ht="14.25">
      <c r="A459" s="7"/>
      <c r="B459" s="7"/>
      <c r="C459" s="7"/>
      <c r="D459" s="7"/>
      <c r="P459" s="21"/>
      <c r="R459" s="5"/>
      <c r="S459" s="5"/>
      <c r="T459" s="7"/>
    </row>
    <row r="460" spans="1:20" ht="14.25">
      <c r="A460" s="7"/>
      <c r="B460" s="7"/>
      <c r="C460" s="7"/>
      <c r="D460" s="7"/>
      <c r="P460" s="21"/>
      <c r="R460" s="5"/>
      <c r="S460" s="5"/>
      <c r="T460" s="7"/>
    </row>
    <row r="461" spans="1:20" ht="14.25">
      <c r="A461" s="7"/>
      <c r="B461" s="7"/>
      <c r="C461" s="7"/>
      <c r="D461" s="7"/>
      <c r="P461" s="21"/>
      <c r="R461" s="5"/>
      <c r="S461" s="5"/>
      <c r="T461" s="7"/>
    </row>
    <row r="462" spans="1:20" ht="14.25">
      <c r="A462" s="7"/>
      <c r="B462" s="7"/>
      <c r="C462" s="7"/>
      <c r="D462" s="7"/>
      <c r="P462" s="21"/>
      <c r="R462" s="5"/>
      <c r="S462" s="5"/>
      <c r="T462" s="7"/>
    </row>
    <row r="463" spans="1:20" ht="14.25">
      <c r="A463" s="7"/>
      <c r="B463" s="7"/>
      <c r="C463" s="7"/>
      <c r="D463" s="7"/>
      <c r="P463" s="21"/>
      <c r="R463" s="5"/>
      <c r="S463" s="5"/>
      <c r="T463" s="7"/>
    </row>
    <row r="464" spans="1:20" ht="14.25">
      <c r="A464" s="7"/>
      <c r="B464" s="7"/>
      <c r="C464" s="7"/>
      <c r="D464" s="7"/>
      <c r="P464" s="21"/>
      <c r="R464" s="5"/>
      <c r="S464" s="5"/>
      <c r="T464" s="7"/>
    </row>
    <row r="465" spans="1:20" ht="14.25">
      <c r="A465" s="7"/>
      <c r="B465" s="7"/>
      <c r="C465" s="7"/>
      <c r="D465" s="7"/>
      <c r="P465" s="21"/>
      <c r="R465" s="5"/>
      <c r="S465" s="5"/>
      <c r="T465" s="7"/>
    </row>
    <row r="466" spans="1:20" ht="14.25">
      <c r="A466" s="7"/>
      <c r="B466" s="7"/>
      <c r="C466" s="7"/>
      <c r="D466" s="7"/>
      <c r="P466" s="21"/>
      <c r="R466" s="5"/>
      <c r="S466" s="5"/>
      <c r="T466" s="7"/>
    </row>
    <row r="467" spans="1:20" ht="14.25">
      <c r="A467" s="7"/>
      <c r="B467" s="7"/>
      <c r="C467" s="7"/>
      <c r="D467" s="7"/>
      <c r="P467" s="21"/>
      <c r="R467" s="5"/>
      <c r="S467" s="5"/>
      <c r="T467" s="7"/>
    </row>
    <row r="468" spans="1:20" ht="14.25">
      <c r="A468" s="7"/>
      <c r="B468" s="7"/>
      <c r="C468" s="7"/>
      <c r="D468" s="7"/>
      <c r="P468" s="21"/>
      <c r="R468" s="5"/>
      <c r="S468" s="5"/>
      <c r="T468" s="7"/>
    </row>
    <row r="469" spans="1:20" ht="14.25">
      <c r="A469" s="7"/>
      <c r="B469" s="7"/>
      <c r="C469" s="7"/>
      <c r="D469" s="7"/>
      <c r="P469" s="21"/>
      <c r="R469" s="5"/>
      <c r="S469" s="5"/>
      <c r="T469" s="7"/>
    </row>
    <row r="470" spans="1:20" ht="14.25">
      <c r="A470" s="7"/>
      <c r="B470" s="7"/>
      <c r="C470" s="7"/>
      <c r="D470" s="7"/>
      <c r="P470" s="21"/>
      <c r="R470" s="5"/>
      <c r="S470" s="5"/>
      <c r="T470" s="7"/>
    </row>
    <row r="471" spans="1:20" ht="14.25">
      <c r="A471" s="7"/>
      <c r="B471" s="7"/>
      <c r="C471" s="7"/>
      <c r="D471" s="7"/>
      <c r="P471" s="21"/>
      <c r="R471" s="5"/>
      <c r="S471" s="5"/>
      <c r="T471" s="7"/>
    </row>
    <row r="472" spans="1:20" ht="14.25">
      <c r="A472" s="7"/>
      <c r="B472" s="7"/>
      <c r="C472" s="7"/>
      <c r="D472" s="7"/>
      <c r="P472" s="21"/>
      <c r="R472" s="5"/>
      <c r="S472" s="5"/>
      <c r="T472" s="7"/>
    </row>
    <row r="473" spans="1:20" ht="14.25">
      <c r="A473" s="7"/>
      <c r="B473" s="7"/>
      <c r="C473" s="7"/>
      <c r="D473" s="7"/>
      <c r="P473" s="21"/>
      <c r="R473" s="5"/>
      <c r="S473" s="5"/>
      <c r="T473" s="7"/>
    </row>
    <row r="474" spans="1:20" ht="14.25">
      <c r="A474" s="7"/>
      <c r="B474" s="7"/>
      <c r="C474" s="7"/>
      <c r="D474" s="7"/>
      <c r="P474" s="21"/>
      <c r="R474" s="5"/>
      <c r="S474" s="5"/>
      <c r="T474" s="7"/>
    </row>
    <row r="475" spans="1:20" ht="14.25">
      <c r="A475" s="7"/>
      <c r="B475" s="7"/>
      <c r="C475" s="7"/>
      <c r="D475" s="7"/>
      <c r="P475" s="21"/>
      <c r="R475" s="5"/>
      <c r="S475" s="5"/>
      <c r="T475" s="7"/>
    </row>
    <row r="476" spans="1:20" ht="14.25">
      <c r="A476" s="7"/>
      <c r="B476" s="7"/>
      <c r="C476" s="7"/>
      <c r="D476" s="7"/>
      <c r="P476" s="21"/>
      <c r="R476" s="5"/>
      <c r="S476" s="5"/>
      <c r="T476" s="7"/>
    </row>
    <row r="477" spans="1:20" ht="14.25">
      <c r="A477" s="7"/>
      <c r="B477" s="7"/>
      <c r="C477" s="7"/>
      <c r="D477" s="7"/>
      <c r="P477" s="21"/>
      <c r="R477" s="5"/>
      <c r="S477" s="5"/>
      <c r="T477" s="7"/>
    </row>
    <row r="478" spans="1:20" ht="14.25">
      <c r="A478" s="7"/>
      <c r="B478" s="7"/>
      <c r="C478" s="7"/>
      <c r="D478" s="7"/>
      <c r="P478" s="21"/>
      <c r="R478" s="5"/>
      <c r="S478" s="5"/>
      <c r="T478" s="7"/>
    </row>
    <row r="479" spans="1:20" ht="14.25">
      <c r="A479" s="7"/>
      <c r="B479" s="7"/>
      <c r="C479" s="7"/>
      <c r="D479" s="7"/>
      <c r="P479" s="21"/>
      <c r="R479" s="5"/>
      <c r="S479" s="5"/>
      <c r="T479" s="7"/>
    </row>
    <row r="480" spans="1:20" ht="14.25">
      <c r="A480" s="7"/>
      <c r="B480" s="7"/>
      <c r="C480" s="7"/>
      <c r="D480" s="7"/>
      <c r="P480" s="21"/>
      <c r="R480" s="5"/>
      <c r="S480" s="5"/>
      <c r="T480" s="7"/>
    </row>
    <row r="481" spans="1:20" ht="14.25">
      <c r="A481" s="7"/>
      <c r="B481" s="7"/>
      <c r="C481" s="7"/>
      <c r="D481" s="7"/>
      <c r="P481" s="21"/>
      <c r="R481" s="5"/>
      <c r="S481" s="5"/>
      <c r="T481" s="7"/>
    </row>
    <row r="482" spans="1:20" ht="14.25">
      <c r="A482" s="7"/>
      <c r="B482" s="7"/>
      <c r="C482" s="7"/>
      <c r="D482" s="7"/>
      <c r="P482" s="21"/>
      <c r="R482" s="5"/>
      <c r="S482" s="5"/>
      <c r="T482" s="7"/>
    </row>
    <row r="483" spans="1:20" ht="14.25">
      <c r="A483" s="7"/>
      <c r="B483" s="7"/>
      <c r="C483" s="7"/>
      <c r="D483" s="7"/>
      <c r="P483" s="21"/>
      <c r="R483" s="5"/>
      <c r="S483" s="5"/>
      <c r="T483" s="7"/>
    </row>
    <row r="484" spans="1:20" ht="14.25">
      <c r="A484" s="7"/>
      <c r="B484" s="7"/>
      <c r="C484" s="7"/>
      <c r="D484" s="7"/>
      <c r="P484" s="21"/>
      <c r="R484" s="5"/>
      <c r="S484" s="5"/>
      <c r="T484" s="7"/>
    </row>
    <row r="485" spans="1:20" ht="14.25">
      <c r="A485" s="7"/>
      <c r="B485" s="7"/>
      <c r="C485" s="7"/>
      <c r="D485" s="7"/>
      <c r="P485" s="21"/>
      <c r="R485" s="5"/>
      <c r="S485" s="5"/>
      <c r="T485" s="7"/>
    </row>
    <row r="486" spans="1:20" ht="14.25">
      <c r="A486" s="7"/>
      <c r="B486" s="7"/>
      <c r="C486" s="7"/>
      <c r="D486" s="7"/>
      <c r="P486" s="21"/>
      <c r="R486" s="5"/>
      <c r="S486" s="5"/>
      <c r="T486" s="7"/>
    </row>
    <row r="487" spans="1:20" ht="14.25">
      <c r="A487" s="7"/>
      <c r="B487" s="7"/>
      <c r="C487" s="7"/>
      <c r="D487" s="7"/>
      <c r="P487" s="21"/>
      <c r="R487" s="5"/>
      <c r="S487" s="5"/>
      <c r="T487" s="7"/>
    </row>
    <row r="488" spans="1:20" ht="14.25">
      <c r="A488" s="7"/>
      <c r="B488" s="7"/>
      <c r="C488" s="7"/>
      <c r="D488" s="7"/>
      <c r="P488" s="21"/>
      <c r="R488" s="5"/>
      <c r="S488" s="5"/>
      <c r="T488" s="7"/>
    </row>
    <row r="489" spans="1:20" ht="14.25">
      <c r="A489" s="7"/>
      <c r="B489" s="7"/>
      <c r="C489" s="7"/>
      <c r="D489" s="7"/>
      <c r="P489" s="21"/>
      <c r="R489" s="5"/>
      <c r="S489" s="5"/>
      <c r="T489" s="7"/>
    </row>
    <row r="490" spans="1:20" ht="14.25">
      <c r="A490" s="7"/>
      <c r="B490" s="7"/>
      <c r="C490" s="7"/>
      <c r="D490" s="7"/>
      <c r="P490" s="21"/>
      <c r="R490" s="5"/>
      <c r="S490" s="5"/>
      <c r="T490" s="7"/>
    </row>
    <row r="491" spans="1:20" ht="14.25">
      <c r="A491" s="7"/>
      <c r="B491" s="7"/>
      <c r="C491" s="7"/>
      <c r="D491" s="7"/>
      <c r="P491" s="21"/>
      <c r="R491" s="5"/>
      <c r="S491" s="5"/>
      <c r="T491" s="7"/>
    </row>
    <row r="492" spans="1:20" ht="14.25">
      <c r="A492" s="7"/>
      <c r="B492" s="7"/>
      <c r="C492" s="7"/>
      <c r="D492" s="7"/>
      <c r="P492" s="21"/>
      <c r="R492" s="5"/>
      <c r="S492" s="5"/>
      <c r="T492" s="7"/>
    </row>
    <row r="493" spans="1:20" ht="14.25">
      <c r="A493" s="7"/>
      <c r="B493" s="7"/>
      <c r="C493" s="7"/>
      <c r="D493" s="7"/>
      <c r="P493" s="21"/>
      <c r="R493" s="5"/>
      <c r="S493" s="5"/>
      <c r="T493" s="7"/>
    </row>
    <row r="494" spans="1:20" ht="14.25">
      <c r="A494" s="7"/>
      <c r="B494" s="7"/>
      <c r="C494" s="7"/>
      <c r="D494" s="7"/>
      <c r="P494" s="21"/>
      <c r="R494" s="5"/>
      <c r="S494" s="5"/>
      <c r="T494" s="7"/>
    </row>
    <row r="495" spans="1:20" ht="14.25">
      <c r="A495" s="7"/>
      <c r="B495" s="7"/>
      <c r="C495" s="7"/>
      <c r="D495" s="7"/>
      <c r="P495" s="21"/>
      <c r="R495" s="5"/>
      <c r="S495" s="5"/>
      <c r="T495" s="7"/>
    </row>
    <row r="496" spans="1:20" ht="14.25">
      <c r="A496" s="7"/>
      <c r="B496" s="7"/>
      <c r="C496" s="7"/>
      <c r="D496" s="7"/>
      <c r="P496" s="21"/>
      <c r="R496" s="5"/>
      <c r="S496" s="5"/>
      <c r="T496" s="7"/>
    </row>
    <row r="497" spans="1:20" ht="14.25">
      <c r="A497" s="7"/>
      <c r="B497" s="7"/>
      <c r="C497" s="7"/>
      <c r="D497" s="7"/>
      <c r="P497" s="21"/>
      <c r="R497" s="5"/>
      <c r="S497" s="5"/>
      <c r="T497" s="7"/>
    </row>
    <row r="498" spans="1:20" ht="14.25">
      <c r="A498" s="7"/>
      <c r="B498" s="7"/>
      <c r="C498" s="7"/>
      <c r="D498" s="7"/>
      <c r="P498" s="21"/>
      <c r="R498" s="5"/>
      <c r="S498" s="5"/>
      <c r="T498" s="7"/>
    </row>
    <row r="499" spans="1:20" ht="14.25">
      <c r="A499" s="7"/>
      <c r="B499" s="7"/>
      <c r="C499" s="7"/>
      <c r="D499" s="7"/>
      <c r="P499" s="21"/>
      <c r="R499" s="5"/>
      <c r="S499" s="5"/>
      <c r="T499" s="7"/>
    </row>
    <row r="500" spans="1:20" ht="14.25">
      <c r="A500" s="7"/>
      <c r="B500" s="7"/>
      <c r="C500" s="7"/>
      <c r="D500" s="7"/>
      <c r="P500" s="21"/>
      <c r="R500" s="5"/>
      <c r="S500" s="5"/>
      <c r="T500" s="7"/>
    </row>
    <row r="501" spans="1:20" ht="14.25">
      <c r="A501" s="7"/>
      <c r="B501" s="7"/>
      <c r="C501" s="7"/>
      <c r="D501" s="7"/>
      <c r="P501" s="21"/>
      <c r="R501" s="5"/>
      <c r="S501" s="5"/>
      <c r="T501" s="7"/>
    </row>
    <row r="502" spans="1:20" ht="14.25">
      <c r="A502" s="7"/>
      <c r="B502" s="7"/>
      <c r="C502" s="7"/>
      <c r="D502" s="7"/>
      <c r="P502" s="21"/>
      <c r="R502" s="5"/>
      <c r="S502" s="5"/>
      <c r="T502" s="7"/>
    </row>
    <row r="503" spans="1:20" ht="14.25">
      <c r="A503" s="7"/>
      <c r="B503" s="7"/>
      <c r="C503" s="7"/>
      <c r="D503" s="7"/>
      <c r="P503" s="21"/>
      <c r="R503" s="5"/>
      <c r="S503" s="5"/>
      <c r="T503" s="7"/>
    </row>
    <row r="504" spans="1:20" ht="14.25">
      <c r="A504" s="7"/>
      <c r="B504" s="7"/>
      <c r="C504" s="7"/>
      <c r="D504" s="7"/>
      <c r="P504" s="21"/>
      <c r="R504" s="5"/>
      <c r="S504" s="5"/>
      <c r="T504" s="7"/>
    </row>
    <row r="505" spans="1:20" ht="14.25">
      <c r="A505" s="7"/>
      <c r="B505" s="7"/>
      <c r="C505" s="7"/>
      <c r="D505" s="7"/>
      <c r="P505" s="21"/>
      <c r="R505" s="5"/>
      <c r="S505" s="5"/>
      <c r="T505" s="7"/>
    </row>
    <row r="506" spans="1:20" ht="14.25">
      <c r="A506" s="7"/>
      <c r="B506" s="7"/>
      <c r="C506" s="7"/>
      <c r="D506" s="7"/>
      <c r="P506" s="21"/>
      <c r="R506" s="5"/>
      <c r="S506" s="5"/>
      <c r="T506" s="7"/>
    </row>
    <row r="507" spans="1:20" ht="14.25">
      <c r="A507" s="7"/>
      <c r="B507" s="7"/>
      <c r="C507" s="7"/>
      <c r="D507" s="7"/>
      <c r="P507" s="21"/>
      <c r="R507" s="5"/>
      <c r="S507" s="5"/>
      <c r="T507" s="7"/>
    </row>
    <row r="508" spans="1:20" ht="14.25">
      <c r="A508" s="7"/>
      <c r="B508" s="7"/>
      <c r="C508" s="7"/>
      <c r="D508" s="7"/>
      <c r="P508" s="21"/>
      <c r="R508" s="5"/>
      <c r="S508" s="5"/>
      <c r="T508" s="7"/>
    </row>
    <row r="509" spans="1:20" ht="14.25">
      <c r="A509" s="7"/>
      <c r="B509" s="7"/>
      <c r="C509" s="7"/>
      <c r="D509" s="7"/>
      <c r="P509" s="21"/>
      <c r="R509" s="5"/>
      <c r="S509" s="5"/>
      <c r="T509" s="7"/>
    </row>
    <row r="510" spans="1:20" ht="14.25">
      <c r="A510" s="7"/>
      <c r="B510" s="7"/>
      <c r="C510" s="7"/>
      <c r="D510" s="7"/>
      <c r="P510" s="21"/>
      <c r="R510" s="5"/>
      <c r="S510" s="5"/>
      <c r="T510" s="7"/>
    </row>
    <row r="511" spans="1:20" ht="14.25">
      <c r="A511" s="7"/>
      <c r="B511" s="7"/>
      <c r="C511" s="7"/>
      <c r="D511" s="7"/>
      <c r="P511" s="21"/>
      <c r="R511" s="5"/>
      <c r="S511" s="5"/>
      <c r="T511" s="7"/>
    </row>
    <row r="512" spans="1:20" ht="14.25">
      <c r="A512" s="7"/>
      <c r="B512" s="7"/>
      <c r="C512" s="7"/>
      <c r="D512" s="7"/>
      <c r="P512" s="21"/>
      <c r="R512" s="5"/>
      <c r="S512" s="5"/>
      <c r="T512" s="7"/>
    </row>
    <row r="513" spans="1:20" ht="14.25">
      <c r="A513" s="7"/>
      <c r="B513" s="7"/>
      <c r="C513" s="7"/>
      <c r="D513" s="7"/>
      <c r="P513" s="21"/>
      <c r="R513" s="5"/>
      <c r="S513" s="5"/>
      <c r="T513" s="7"/>
    </row>
    <row r="514" spans="1:20" ht="14.25">
      <c r="A514" s="7"/>
      <c r="B514" s="7"/>
      <c r="C514" s="7"/>
      <c r="D514" s="7"/>
      <c r="P514" s="21"/>
      <c r="R514" s="5"/>
      <c r="S514" s="5"/>
      <c r="T514" s="7"/>
    </row>
    <row r="515" spans="1:20" ht="14.25">
      <c r="A515" s="7"/>
      <c r="B515" s="7"/>
      <c r="C515" s="7"/>
      <c r="D515" s="7"/>
      <c r="P515" s="21"/>
      <c r="R515" s="5"/>
      <c r="S515" s="5"/>
      <c r="T515" s="7"/>
    </row>
    <row r="516" spans="1:20" ht="14.25">
      <c r="A516" s="7"/>
      <c r="B516" s="7"/>
      <c r="C516" s="7"/>
      <c r="D516" s="7"/>
      <c r="P516" s="21"/>
      <c r="R516" s="5"/>
      <c r="S516" s="5"/>
      <c r="T516" s="7"/>
    </row>
    <row r="517" spans="1:20" ht="14.25">
      <c r="A517" s="7"/>
      <c r="B517" s="7"/>
      <c r="C517" s="7"/>
      <c r="D517" s="7"/>
      <c r="P517" s="21"/>
      <c r="R517" s="5"/>
      <c r="S517" s="5"/>
      <c r="T517" s="7"/>
    </row>
    <row r="518" spans="1:20" ht="14.25">
      <c r="A518" s="7"/>
      <c r="B518" s="7"/>
      <c r="C518" s="7"/>
      <c r="D518" s="7"/>
      <c r="P518" s="21"/>
      <c r="R518" s="5"/>
      <c r="S518" s="5"/>
      <c r="T518" s="7"/>
    </row>
    <row r="519" spans="1:20" ht="14.25">
      <c r="A519" s="7"/>
      <c r="B519" s="7"/>
      <c r="C519" s="7"/>
      <c r="D519" s="7"/>
      <c r="P519" s="21"/>
      <c r="R519" s="5"/>
      <c r="S519" s="5"/>
      <c r="T519" s="7"/>
    </row>
    <row r="520" spans="1:20" ht="14.25">
      <c r="A520" s="7"/>
      <c r="B520" s="7"/>
      <c r="C520" s="7"/>
      <c r="D520" s="7"/>
      <c r="P520" s="21"/>
      <c r="R520" s="5"/>
      <c r="S520" s="5"/>
      <c r="T520" s="7"/>
    </row>
    <row r="521" spans="1:20" ht="14.25">
      <c r="A521" s="7"/>
      <c r="B521" s="7"/>
      <c r="C521" s="7"/>
      <c r="D521" s="7"/>
      <c r="P521" s="21"/>
      <c r="R521" s="5"/>
      <c r="S521" s="5"/>
      <c r="T521" s="7"/>
    </row>
    <row r="522" spans="1:20" ht="14.25">
      <c r="A522" s="7"/>
      <c r="B522" s="7"/>
      <c r="C522" s="7"/>
      <c r="D522" s="7"/>
      <c r="P522" s="21"/>
      <c r="R522" s="5"/>
      <c r="S522" s="5"/>
      <c r="T522" s="7"/>
    </row>
    <row r="523" spans="1:20" ht="14.25">
      <c r="A523" s="7"/>
      <c r="B523" s="7"/>
      <c r="C523" s="7"/>
      <c r="D523" s="7"/>
      <c r="P523" s="21"/>
      <c r="R523" s="5"/>
      <c r="S523" s="5"/>
      <c r="T523" s="7"/>
    </row>
    <row r="524" spans="1:20" ht="14.25">
      <c r="A524" s="7"/>
      <c r="B524" s="7"/>
      <c r="C524" s="7"/>
      <c r="D524" s="7"/>
      <c r="P524" s="21"/>
      <c r="R524" s="5"/>
      <c r="S524" s="5"/>
      <c r="T524" s="7"/>
    </row>
    <row r="525" spans="1:20" ht="14.25">
      <c r="A525" s="7"/>
      <c r="B525" s="7"/>
      <c r="C525" s="7"/>
      <c r="D525" s="7"/>
      <c r="P525" s="21"/>
      <c r="R525" s="5"/>
      <c r="S525" s="5"/>
      <c r="T525" s="7"/>
    </row>
    <row r="526" spans="1:20" ht="14.25">
      <c r="A526" s="7"/>
      <c r="B526" s="7"/>
      <c r="C526" s="7"/>
      <c r="D526" s="7"/>
      <c r="P526" s="21"/>
      <c r="R526" s="5"/>
      <c r="S526" s="5"/>
      <c r="T526" s="7"/>
    </row>
    <row r="527" spans="1:20" ht="14.25">
      <c r="A527" s="7"/>
      <c r="B527" s="7"/>
      <c r="C527" s="7"/>
      <c r="D527" s="7"/>
      <c r="P527" s="21"/>
      <c r="R527" s="5"/>
      <c r="S527" s="5"/>
      <c r="T527" s="7"/>
    </row>
    <row r="528" spans="1:20" ht="14.25">
      <c r="A528" s="7"/>
      <c r="B528" s="7"/>
      <c r="C528" s="7"/>
      <c r="D528" s="7"/>
      <c r="P528" s="21"/>
      <c r="R528" s="5"/>
      <c r="S528" s="5"/>
      <c r="T528" s="7"/>
    </row>
    <row r="529" spans="1:20" ht="14.25">
      <c r="A529" s="7"/>
      <c r="B529" s="7"/>
      <c r="C529" s="7"/>
      <c r="D529" s="7"/>
      <c r="P529" s="21"/>
      <c r="R529" s="5"/>
      <c r="S529" s="5"/>
      <c r="T529" s="7"/>
    </row>
    <row r="530" spans="1:20" ht="14.25">
      <c r="A530" s="7"/>
      <c r="B530" s="7"/>
      <c r="C530" s="7"/>
      <c r="D530" s="7"/>
      <c r="P530" s="21"/>
      <c r="R530" s="5"/>
      <c r="S530" s="5"/>
      <c r="T530" s="7"/>
    </row>
    <row r="531" spans="1:20" ht="14.25">
      <c r="A531" s="7"/>
      <c r="B531" s="7"/>
      <c r="C531" s="7"/>
      <c r="D531" s="7"/>
      <c r="P531" s="21"/>
      <c r="R531" s="5"/>
      <c r="S531" s="5"/>
      <c r="T531" s="7"/>
    </row>
    <row r="532" spans="1:20" ht="14.25">
      <c r="A532" s="7"/>
      <c r="B532" s="7"/>
      <c r="C532" s="7"/>
      <c r="D532" s="7"/>
      <c r="P532" s="21"/>
      <c r="R532" s="5"/>
      <c r="S532" s="5"/>
      <c r="T532" s="7"/>
    </row>
    <row r="533" spans="1:20" ht="14.25">
      <c r="A533" s="7"/>
      <c r="B533" s="7"/>
      <c r="C533" s="7"/>
      <c r="D533" s="7"/>
      <c r="P533" s="21"/>
      <c r="R533" s="5"/>
      <c r="S533" s="5"/>
      <c r="T533" s="7"/>
    </row>
    <row r="534" spans="1:20" ht="14.25">
      <c r="A534" s="7"/>
      <c r="B534" s="7"/>
      <c r="C534" s="7"/>
      <c r="D534" s="7"/>
      <c r="P534" s="21"/>
      <c r="R534" s="5"/>
      <c r="S534" s="5"/>
      <c r="T534" s="7"/>
    </row>
    <row r="535" spans="1:20" ht="14.25">
      <c r="A535" s="7"/>
      <c r="B535" s="7"/>
      <c r="C535" s="7"/>
      <c r="D535" s="7"/>
      <c r="P535" s="21"/>
      <c r="R535" s="5"/>
      <c r="S535" s="5"/>
      <c r="T535" s="7"/>
    </row>
    <row r="536" spans="1:20" ht="14.25">
      <c r="A536" s="7"/>
      <c r="B536" s="7"/>
      <c r="C536" s="7"/>
      <c r="D536" s="7"/>
      <c r="P536" s="21"/>
      <c r="R536" s="5"/>
      <c r="S536" s="5"/>
      <c r="T536" s="7"/>
    </row>
    <row r="537" spans="1:20" ht="14.25">
      <c r="A537" s="7"/>
      <c r="B537" s="7"/>
      <c r="C537" s="7"/>
      <c r="D537" s="7"/>
      <c r="P537" s="21"/>
      <c r="R537" s="5"/>
      <c r="S537" s="5"/>
      <c r="T537" s="7"/>
    </row>
    <row r="538" spans="1:20" ht="14.25">
      <c r="A538" s="7"/>
      <c r="B538" s="7"/>
      <c r="C538" s="7"/>
      <c r="D538" s="7"/>
      <c r="P538" s="21"/>
      <c r="R538" s="5"/>
      <c r="S538" s="5"/>
      <c r="T538" s="7"/>
    </row>
    <row r="539" spans="1:20" ht="14.25">
      <c r="A539" s="7"/>
      <c r="B539" s="7"/>
      <c r="C539" s="7"/>
      <c r="D539" s="7"/>
      <c r="P539" s="21"/>
      <c r="R539" s="5"/>
      <c r="S539" s="5"/>
      <c r="T539" s="7"/>
    </row>
    <row r="540" spans="1:20" ht="14.25">
      <c r="A540" s="7"/>
      <c r="B540" s="7"/>
      <c r="C540" s="7"/>
      <c r="D540" s="7"/>
      <c r="P540" s="21"/>
      <c r="R540" s="5"/>
      <c r="S540" s="5"/>
      <c r="T540" s="7"/>
    </row>
    <row r="541" spans="1:20" ht="14.25">
      <c r="A541" s="7"/>
      <c r="B541" s="7"/>
      <c r="C541" s="7"/>
      <c r="D541" s="7"/>
      <c r="P541" s="21"/>
      <c r="R541" s="5"/>
      <c r="S541" s="5"/>
      <c r="T541" s="7"/>
    </row>
    <row r="542" spans="1:20" ht="14.25">
      <c r="A542" s="7"/>
      <c r="B542" s="7"/>
      <c r="C542" s="7"/>
      <c r="D542" s="7"/>
      <c r="P542" s="21"/>
      <c r="R542" s="5"/>
      <c r="S542" s="5"/>
      <c r="T542" s="7"/>
    </row>
    <row r="543" spans="1:20" ht="14.25">
      <c r="A543" s="7"/>
      <c r="B543" s="7"/>
      <c r="C543" s="7"/>
      <c r="D543" s="7"/>
      <c r="P543" s="21"/>
      <c r="R543" s="5"/>
      <c r="S543" s="5"/>
      <c r="T543" s="7"/>
    </row>
    <row r="544" spans="1:20" ht="14.25">
      <c r="A544" s="7"/>
      <c r="B544" s="7"/>
      <c r="C544" s="7"/>
      <c r="D544" s="7"/>
      <c r="P544" s="21"/>
      <c r="R544" s="5"/>
      <c r="S544" s="5"/>
      <c r="T544" s="7"/>
    </row>
    <row r="545" spans="1:20" ht="14.25">
      <c r="A545" s="7"/>
      <c r="B545" s="7"/>
      <c r="C545" s="7"/>
      <c r="D545" s="7"/>
      <c r="P545" s="21"/>
      <c r="R545" s="5"/>
      <c r="S545" s="5"/>
      <c r="T545" s="7"/>
    </row>
    <row r="546" spans="1:20" ht="14.25">
      <c r="A546" s="7"/>
      <c r="B546" s="7"/>
      <c r="C546" s="7"/>
      <c r="D546" s="7"/>
      <c r="P546" s="21"/>
      <c r="R546" s="5"/>
      <c r="S546" s="5"/>
      <c r="T546" s="7"/>
    </row>
    <row r="547" spans="1:20" ht="14.25">
      <c r="A547" s="7"/>
      <c r="B547" s="7"/>
      <c r="C547" s="7"/>
      <c r="D547" s="7"/>
      <c r="P547" s="21"/>
      <c r="R547" s="5"/>
      <c r="S547" s="5"/>
      <c r="T547" s="7"/>
    </row>
    <row r="548" spans="1:20" ht="14.25">
      <c r="A548" s="7"/>
      <c r="B548" s="7"/>
      <c r="C548" s="7"/>
      <c r="D548" s="7"/>
      <c r="P548" s="21"/>
      <c r="R548" s="5"/>
      <c r="S548" s="5"/>
      <c r="T548" s="7"/>
    </row>
    <row r="549" spans="1:20" ht="14.25">
      <c r="A549" s="7"/>
      <c r="B549" s="7"/>
      <c r="C549" s="7"/>
      <c r="D549" s="7"/>
      <c r="P549" s="21"/>
      <c r="R549" s="5"/>
      <c r="S549" s="5"/>
      <c r="T549" s="7"/>
    </row>
    <row r="550" spans="1:20" ht="14.25">
      <c r="A550" s="7"/>
      <c r="B550" s="7"/>
      <c r="C550" s="7"/>
      <c r="D550" s="7"/>
      <c r="P550" s="21"/>
      <c r="R550" s="5"/>
      <c r="S550" s="5"/>
      <c r="T550" s="7"/>
    </row>
    <row r="551" spans="1:20" ht="14.25">
      <c r="A551" s="7"/>
      <c r="B551" s="7"/>
      <c r="C551" s="7"/>
      <c r="D551" s="7"/>
      <c r="P551" s="21"/>
      <c r="R551" s="5"/>
      <c r="S551" s="5"/>
      <c r="T551" s="7"/>
    </row>
    <row r="552" spans="1:20" ht="14.25">
      <c r="A552" s="7"/>
      <c r="B552" s="7"/>
      <c r="C552" s="7"/>
      <c r="D552" s="7"/>
      <c r="P552" s="21"/>
      <c r="R552" s="5"/>
      <c r="S552" s="5"/>
      <c r="T552" s="7"/>
    </row>
    <row r="553" spans="1:20" ht="14.25">
      <c r="A553" s="7"/>
      <c r="B553" s="7"/>
      <c r="C553" s="7"/>
      <c r="D553" s="7"/>
      <c r="P553" s="21"/>
      <c r="R553" s="5"/>
      <c r="S553" s="5"/>
      <c r="T553" s="7"/>
    </row>
    <row r="554" spans="1:20" ht="14.25">
      <c r="A554" s="7"/>
      <c r="B554" s="7"/>
      <c r="C554" s="7"/>
      <c r="D554" s="7"/>
      <c r="P554" s="21"/>
      <c r="R554" s="5"/>
      <c r="S554" s="5"/>
      <c r="T554" s="7"/>
    </row>
    <row r="555" spans="1:20" ht="14.25">
      <c r="A555" s="7"/>
      <c r="B555" s="7"/>
      <c r="C555" s="7"/>
      <c r="D555" s="7"/>
      <c r="P555" s="21"/>
      <c r="R555" s="5"/>
      <c r="S555" s="5"/>
      <c r="T555" s="7"/>
    </row>
    <row r="556" spans="1:20" ht="14.25">
      <c r="A556" s="7"/>
      <c r="B556" s="7"/>
      <c r="C556" s="7"/>
      <c r="D556" s="7"/>
      <c r="P556" s="21"/>
      <c r="R556" s="5"/>
      <c r="S556" s="5"/>
      <c r="T556" s="7"/>
    </row>
    <row r="557" spans="1:20" ht="14.25">
      <c r="A557" s="7"/>
      <c r="B557" s="7"/>
      <c r="C557" s="7"/>
      <c r="D557" s="7"/>
      <c r="P557" s="21"/>
      <c r="R557" s="5"/>
      <c r="S557" s="5"/>
      <c r="T557" s="7"/>
    </row>
    <row r="558" spans="1:20" ht="14.25">
      <c r="A558" s="7"/>
      <c r="B558" s="7"/>
      <c r="C558" s="7"/>
      <c r="D558" s="7"/>
      <c r="P558" s="21"/>
      <c r="R558" s="5"/>
      <c r="S558" s="5"/>
      <c r="T558" s="7"/>
    </row>
    <row r="559" spans="1:20" ht="14.25">
      <c r="A559" s="7"/>
      <c r="B559" s="7"/>
      <c r="C559" s="7"/>
      <c r="D559" s="7"/>
      <c r="P559" s="21"/>
      <c r="R559" s="5"/>
      <c r="S559" s="5"/>
      <c r="T559" s="7"/>
    </row>
    <row r="560" spans="1:20" ht="14.25">
      <c r="A560" s="7"/>
      <c r="B560" s="7"/>
      <c r="C560" s="7"/>
      <c r="D560" s="7"/>
      <c r="P560" s="21"/>
      <c r="R560" s="5"/>
      <c r="S560" s="5"/>
      <c r="T560" s="7"/>
    </row>
    <row r="561" spans="1:20" ht="14.25">
      <c r="A561" s="7"/>
      <c r="B561" s="7"/>
      <c r="C561" s="7"/>
      <c r="D561" s="7"/>
      <c r="P561" s="21"/>
      <c r="R561" s="5"/>
      <c r="S561" s="5"/>
      <c r="T561" s="7"/>
    </row>
    <row r="562" spans="1:20" ht="14.25">
      <c r="A562" s="7"/>
      <c r="B562" s="7"/>
      <c r="C562" s="7"/>
      <c r="D562" s="7"/>
      <c r="P562" s="21"/>
      <c r="R562" s="5"/>
      <c r="S562" s="5"/>
      <c r="T562" s="7"/>
    </row>
    <row r="563" spans="1:20" ht="14.25">
      <c r="A563" s="7"/>
      <c r="B563" s="7"/>
      <c r="C563" s="7"/>
      <c r="D563" s="7"/>
      <c r="P563" s="21"/>
      <c r="R563" s="5"/>
      <c r="S563" s="5"/>
      <c r="T563" s="7"/>
    </row>
    <row r="564" spans="1:20" ht="14.25">
      <c r="A564" s="7"/>
      <c r="B564" s="7"/>
      <c r="C564" s="7"/>
      <c r="D564" s="7"/>
      <c r="P564" s="21"/>
      <c r="R564" s="5"/>
      <c r="S564" s="5"/>
      <c r="T564" s="7"/>
    </row>
    <row r="565" spans="1:20" ht="14.25">
      <c r="A565" s="7"/>
      <c r="B565" s="7"/>
      <c r="C565" s="7"/>
      <c r="D565" s="7"/>
      <c r="P565" s="21"/>
      <c r="R565" s="5"/>
      <c r="S565" s="5"/>
      <c r="T565" s="7"/>
    </row>
    <row r="566" spans="1:20" ht="14.25">
      <c r="A566" s="7"/>
      <c r="B566" s="7"/>
      <c r="C566" s="7"/>
      <c r="D566" s="7"/>
      <c r="P566" s="21"/>
      <c r="R566" s="5"/>
      <c r="S566" s="5"/>
      <c r="T566" s="7"/>
    </row>
    <row r="567" spans="1:20" ht="14.25">
      <c r="A567" s="7"/>
      <c r="B567" s="7"/>
      <c r="C567" s="7"/>
      <c r="D567" s="7"/>
      <c r="P567" s="21"/>
      <c r="R567" s="5"/>
      <c r="S567" s="5"/>
      <c r="T567" s="7"/>
    </row>
    <row r="568" spans="1:20" ht="14.25">
      <c r="A568" s="7"/>
      <c r="B568" s="7"/>
      <c r="C568" s="7"/>
      <c r="D568" s="7"/>
      <c r="P568" s="21"/>
      <c r="R568" s="5"/>
      <c r="S568" s="5"/>
      <c r="T568" s="7"/>
    </row>
    <row r="569" spans="1:20" ht="14.25">
      <c r="A569" s="7"/>
      <c r="B569" s="7"/>
      <c r="C569" s="7"/>
      <c r="D569" s="7"/>
      <c r="P569" s="21"/>
      <c r="R569" s="5"/>
      <c r="S569" s="5"/>
      <c r="T569" s="7"/>
    </row>
    <row r="570" spans="1:20" ht="14.25">
      <c r="A570" s="7"/>
      <c r="B570" s="7"/>
      <c r="C570" s="7"/>
      <c r="D570" s="7"/>
      <c r="P570" s="21"/>
      <c r="R570" s="5"/>
      <c r="S570" s="5"/>
      <c r="T570" s="7"/>
    </row>
    <row r="571" spans="1:20" ht="14.25">
      <c r="A571" s="7"/>
      <c r="B571" s="7"/>
      <c r="C571" s="7"/>
      <c r="D571" s="7"/>
      <c r="P571" s="21"/>
      <c r="R571" s="5"/>
      <c r="S571" s="5"/>
      <c r="T571" s="7"/>
    </row>
    <row r="572" spans="1:20" ht="14.25">
      <c r="A572" s="7"/>
      <c r="B572" s="7"/>
      <c r="C572" s="7"/>
      <c r="D572" s="7"/>
      <c r="P572" s="21"/>
      <c r="R572" s="5"/>
      <c r="S572" s="5"/>
      <c r="T572" s="7"/>
    </row>
    <row r="573" spans="1:20" ht="14.25">
      <c r="A573" s="7"/>
      <c r="B573" s="7"/>
      <c r="C573" s="7"/>
      <c r="D573" s="7"/>
      <c r="P573" s="21"/>
      <c r="R573" s="5"/>
      <c r="S573" s="5"/>
      <c r="T573" s="7"/>
    </row>
    <row r="574" spans="1:20" ht="14.25">
      <c r="A574" s="7"/>
      <c r="B574" s="7"/>
      <c r="C574" s="7"/>
      <c r="D574" s="7"/>
      <c r="P574" s="21"/>
      <c r="R574" s="5"/>
      <c r="S574" s="5"/>
      <c r="T574" s="7"/>
    </row>
    <row r="575" spans="1:20" ht="14.25">
      <c r="A575" s="7"/>
      <c r="B575" s="7"/>
      <c r="C575" s="7"/>
      <c r="D575" s="7"/>
      <c r="P575" s="21"/>
      <c r="R575" s="5"/>
      <c r="S575" s="5"/>
      <c r="T575" s="7"/>
    </row>
    <row r="576" spans="1:20" ht="14.25">
      <c r="A576" s="7"/>
      <c r="B576" s="7"/>
      <c r="C576" s="7"/>
      <c r="D576" s="7"/>
      <c r="P576" s="21"/>
      <c r="R576" s="5"/>
      <c r="S576" s="5"/>
      <c r="T576" s="7"/>
    </row>
    <row r="577" spans="1:20" ht="14.25">
      <c r="A577" s="7"/>
      <c r="B577" s="7"/>
      <c r="C577" s="7"/>
      <c r="D577" s="7"/>
      <c r="P577" s="21"/>
      <c r="R577" s="5"/>
      <c r="S577" s="5"/>
      <c r="T577" s="7"/>
    </row>
    <row r="578" spans="1:20" ht="14.25">
      <c r="A578" s="7"/>
      <c r="B578" s="7"/>
      <c r="C578" s="7"/>
      <c r="D578" s="7"/>
      <c r="P578" s="21"/>
      <c r="R578" s="5"/>
      <c r="S578" s="5"/>
      <c r="T578" s="7"/>
    </row>
    <row r="579" spans="1:20" ht="14.25">
      <c r="A579" s="7"/>
      <c r="B579" s="7"/>
      <c r="C579" s="7"/>
      <c r="D579" s="7"/>
      <c r="P579" s="21"/>
      <c r="R579" s="5"/>
      <c r="S579" s="5"/>
      <c r="T579" s="7"/>
    </row>
    <row r="580" spans="1:20" ht="14.25">
      <c r="A580" s="7"/>
      <c r="B580" s="7"/>
      <c r="C580" s="7"/>
      <c r="D580" s="7"/>
      <c r="P580" s="21"/>
      <c r="R580" s="5"/>
      <c r="S580" s="5"/>
      <c r="T580" s="7"/>
    </row>
    <row r="581" spans="1:20" ht="14.25">
      <c r="A581" s="7"/>
      <c r="B581" s="7"/>
      <c r="C581" s="7"/>
      <c r="D581" s="7"/>
      <c r="P581" s="21"/>
      <c r="R581" s="5"/>
      <c r="S581" s="5"/>
      <c r="T581" s="7"/>
    </row>
    <row r="582" spans="1:20" ht="14.25">
      <c r="A582" s="7"/>
      <c r="B582" s="7"/>
      <c r="C582" s="7"/>
      <c r="D582" s="7"/>
      <c r="P582" s="21"/>
      <c r="R582" s="5"/>
      <c r="S582" s="5"/>
      <c r="T582" s="7"/>
    </row>
    <row r="583" spans="1:20" ht="14.25">
      <c r="A583" s="7"/>
      <c r="B583" s="7"/>
      <c r="C583" s="7"/>
      <c r="D583" s="7"/>
      <c r="P583" s="21"/>
      <c r="R583" s="5"/>
      <c r="S583" s="5"/>
      <c r="T583" s="7"/>
    </row>
    <row r="584" spans="1:20" ht="14.25">
      <c r="A584" s="7"/>
      <c r="B584" s="7"/>
      <c r="C584" s="7"/>
      <c r="D584" s="7"/>
      <c r="P584" s="21"/>
      <c r="R584" s="5"/>
      <c r="S584" s="5"/>
      <c r="T584" s="7"/>
    </row>
    <row r="585" spans="1:20" ht="14.25">
      <c r="A585" s="7"/>
      <c r="B585" s="7"/>
      <c r="C585" s="7"/>
      <c r="D585" s="7"/>
      <c r="P585" s="21"/>
      <c r="R585" s="5"/>
      <c r="S585" s="5"/>
      <c r="T585" s="7"/>
    </row>
    <row r="586" spans="1:20" ht="14.25">
      <c r="A586" s="7"/>
      <c r="B586" s="7"/>
      <c r="C586" s="7"/>
      <c r="D586" s="7"/>
      <c r="P586" s="21"/>
      <c r="R586" s="5"/>
      <c r="S586" s="5"/>
      <c r="T586" s="7"/>
    </row>
    <row r="587" spans="1:20" ht="14.25">
      <c r="A587" s="7"/>
      <c r="B587" s="7"/>
      <c r="C587" s="7"/>
      <c r="D587" s="7"/>
      <c r="P587" s="21"/>
      <c r="R587" s="5"/>
      <c r="S587" s="5"/>
      <c r="T587" s="7"/>
    </row>
    <row r="588" spans="1:20" ht="14.25">
      <c r="A588" s="7"/>
      <c r="B588" s="7"/>
      <c r="C588" s="7"/>
      <c r="D588" s="7"/>
      <c r="P588" s="21"/>
      <c r="R588" s="5"/>
      <c r="S588" s="5"/>
      <c r="T588" s="7"/>
    </row>
    <row r="589" spans="1:20" ht="14.25">
      <c r="A589" s="7"/>
      <c r="B589" s="7"/>
      <c r="C589" s="7"/>
      <c r="D589" s="7"/>
      <c r="P589" s="21"/>
      <c r="R589" s="5"/>
      <c r="S589" s="5"/>
      <c r="T589" s="7"/>
    </row>
    <row r="590" spans="1:20" ht="14.25">
      <c r="A590" s="7"/>
      <c r="B590" s="7"/>
      <c r="C590" s="7"/>
      <c r="D590" s="7"/>
      <c r="P590" s="21"/>
      <c r="R590" s="5"/>
      <c r="S590" s="5"/>
      <c r="T590" s="7"/>
    </row>
    <row r="591" spans="1:20" ht="14.25">
      <c r="A591" s="7"/>
      <c r="B591" s="7"/>
      <c r="C591" s="7"/>
      <c r="D591" s="7"/>
      <c r="P591" s="21"/>
      <c r="R591" s="5"/>
      <c r="S591" s="5"/>
      <c r="T591" s="7"/>
    </row>
    <row r="592" spans="1:20" ht="14.25">
      <c r="A592" s="7"/>
      <c r="B592" s="7"/>
      <c r="C592" s="7"/>
      <c r="D592" s="7"/>
      <c r="P592" s="21"/>
      <c r="R592" s="5"/>
      <c r="S592" s="5"/>
      <c r="T592" s="7"/>
    </row>
    <row r="593" spans="1:20" ht="14.25">
      <c r="A593" s="7"/>
      <c r="B593" s="7"/>
      <c r="C593" s="7"/>
      <c r="D593" s="7"/>
      <c r="P593" s="21"/>
      <c r="R593" s="5"/>
      <c r="S593" s="5"/>
      <c r="T593" s="7"/>
    </row>
    <row r="594" spans="1:20" ht="14.25">
      <c r="A594" s="7"/>
      <c r="B594" s="7"/>
      <c r="C594" s="7"/>
      <c r="D594" s="7"/>
      <c r="P594" s="21"/>
      <c r="R594" s="5"/>
      <c r="S594" s="5"/>
      <c r="T594" s="7"/>
    </row>
    <row r="595" spans="1:20" ht="14.25">
      <c r="A595" s="7"/>
      <c r="B595" s="7"/>
      <c r="C595" s="7"/>
      <c r="D595" s="7"/>
      <c r="P595" s="21"/>
      <c r="R595" s="5"/>
      <c r="S595" s="5"/>
      <c r="T595" s="7"/>
    </row>
    <row r="596" spans="1:20" ht="14.25">
      <c r="A596" s="7"/>
      <c r="B596" s="7"/>
      <c r="C596" s="7"/>
      <c r="D596" s="7"/>
      <c r="P596" s="21"/>
      <c r="R596" s="5"/>
      <c r="S596" s="5"/>
      <c r="T596" s="7"/>
    </row>
    <row r="597" spans="1:20" ht="14.25">
      <c r="A597" s="7"/>
      <c r="B597" s="7"/>
      <c r="C597" s="7"/>
      <c r="D597" s="7"/>
      <c r="P597" s="21"/>
      <c r="R597" s="5"/>
      <c r="S597" s="5"/>
      <c r="T597" s="7"/>
    </row>
    <row r="598" spans="1:20" ht="14.25">
      <c r="A598" s="7"/>
      <c r="B598" s="7"/>
      <c r="C598" s="7"/>
      <c r="D598" s="7"/>
      <c r="P598" s="21"/>
      <c r="R598" s="5"/>
      <c r="S598" s="5"/>
      <c r="T598" s="7"/>
    </row>
    <row r="599" spans="1:20" ht="14.25">
      <c r="A599" s="7"/>
      <c r="B599" s="7"/>
      <c r="C599" s="7"/>
      <c r="D599" s="7"/>
      <c r="P599" s="21"/>
      <c r="R599" s="5"/>
      <c r="S599" s="5"/>
      <c r="T599" s="7"/>
    </row>
    <row r="600" spans="1:20" ht="14.25">
      <c r="A600" s="7"/>
      <c r="B600" s="7"/>
      <c r="C600" s="7"/>
      <c r="D600" s="7"/>
      <c r="P600" s="21"/>
      <c r="R600" s="5"/>
      <c r="S600" s="5"/>
      <c r="T600" s="7"/>
    </row>
    <row r="601" spans="1:20" ht="14.25">
      <c r="A601" s="7"/>
      <c r="B601" s="7"/>
      <c r="C601" s="7"/>
      <c r="D601" s="7"/>
      <c r="P601" s="21"/>
      <c r="R601" s="5"/>
      <c r="S601" s="5"/>
      <c r="T601" s="7"/>
    </row>
    <row r="602" spans="1:20" ht="14.25">
      <c r="A602" s="7"/>
      <c r="B602" s="7"/>
      <c r="C602" s="7"/>
      <c r="D602" s="7"/>
      <c r="P602" s="21"/>
      <c r="R602" s="5"/>
      <c r="S602" s="5"/>
      <c r="T602" s="7"/>
    </row>
    <row r="603" spans="1:20" ht="14.25">
      <c r="A603" s="7"/>
      <c r="B603" s="7"/>
      <c r="C603" s="7"/>
      <c r="D603" s="7"/>
      <c r="P603" s="21"/>
      <c r="R603" s="5"/>
      <c r="S603" s="5"/>
      <c r="T603" s="7"/>
    </row>
    <row r="604" spans="1:20" ht="14.25">
      <c r="A604" s="7"/>
      <c r="B604" s="7"/>
      <c r="C604" s="7"/>
      <c r="D604" s="7"/>
      <c r="P604" s="21"/>
      <c r="R604" s="5"/>
      <c r="S604" s="5"/>
      <c r="T604" s="7"/>
    </row>
    <row r="605" spans="1:20" ht="14.25">
      <c r="A605" s="7"/>
      <c r="B605" s="7"/>
      <c r="C605" s="7"/>
      <c r="D605" s="7"/>
      <c r="P605" s="21"/>
      <c r="R605" s="5"/>
      <c r="S605" s="5"/>
      <c r="T605" s="7"/>
    </row>
    <row r="606" spans="1:20" ht="14.25">
      <c r="A606" s="7"/>
      <c r="B606" s="7"/>
      <c r="C606" s="7"/>
      <c r="D606" s="7"/>
      <c r="P606" s="21"/>
      <c r="R606" s="5"/>
      <c r="S606" s="5"/>
      <c r="T606" s="7"/>
    </row>
    <row r="607" spans="1:20" ht="14.25">
      <c r="A607" s="7"/>
      <c r="B607" s="7"/>
      <c r="C607" s="7"/>
      <c r="D607" s="7"/>
      <c r="P607" s="21"/>
      <c r="R607" s="5"/>
      <c r="S607" s="5"/>
      <c r="T607" s="7"/>
    </row>
    <row r="608" spans="1:20" ht="14.25">
      <c r="A608" s="7"/>
      <c r="B608" s="7"/>
      <c r="C608" s="7"/>
      <c r="D608" s="7"/>
      <c r="P608" s="21"/>
      <c r="R608" s="5"/>
      <c r="S608" s="5"/>
      <c r="T608" s="7"/>
    </row>
    <row r="609" spans="1:20" ht="14.25">
      <c r="A609" s="7"/>
      <c r="B609" s="7"/>
      <c r="C609" s="7"/>
      <c r="D609" s="7"/>
      <c r="P609" s="21"/>
      <c r="R609" s="5"/>
      <c r="S609" s="5"/>
      <c r="T609" s="7"/>
    </row>
    <row r="610" spans="1:20" ht="14.25">
      <c r="A610" s="7"/>
      <c r="B610" s="7"/>
      <c r="C610" s="7"/>
      <c r="D610" s="7"/>
      <c r="P610" s="21"/>
      <c r="R610" s="5"/>
      <c r="S610" s="5"/>
      <c r="T610" s="7"/>
    </row>
    <row r="611" spans="1:20" ht="14.25">
      <c r="A611" s="7"/>
      <c r="B611" s="7"/>
      <c r="C611" s="7"/>
      <c r="D611" s="7"/>
      <c r="P611" s="21"/>
      <c r="R611" s="5"/>
      <c r="S611" s="5"/>
      <c r="T611" s="7"/>
    </row>
    <row r="612" spans="1:20" ht="14.25">
      <c r="A612" s="7"/>
      <c r="B612" s="7"/>
      <c r="C612" s="7"/>
      <c r="D612" s="7"/>
      <c r="P612" s="21"/>
      <c r="R612" s="5"/>
      <c r="S612" s="5"/>
      <c r="T612" s="7"/>
    </row>
    <row r="613" spans="1:20" ht="14.25">
      <c r="A613" s="7"/>
      <c r="B613" s="7"/>
      <c r="C613" s="7"/>
      <c r="D613" s="7"/>
      <c r="P613" s="21"/>
      <c r="R613" s="5"/>
      <c r="S613" s="5"/>
      <c r="T613" s="7"/>
    </row>
    <row r="614" spans="1:20" ht="14.25">
      <c r="A614" s="7"/>
      <c r="B614" s="7"/>
      <c r="C614" s="7"/>
      <c r="D614" s="7"/>
      <c r="P614" s="21"/>
      <c r="R614" s="5"/>
      <c r="S614" s="5"/>
      <c r="T614" s="7"/>
    </row>
    <row r="615" spans="1:20" ht="14.25">
      <c r="A615" s="7"/>
      <c r="B615" s="7"/>
      <c r="C615" s="7"/>
      <c r="D615" s="7"/>
      <c r="P615" s="21"/>
      <c r="R615" s="5"/>
      <c r="S615" s="5"/>
      <c r="T615" s="7"/>
    </row>
    <row r="616" spans="1:20" ht="14.25">
      <c r="A616" s="7"/>
      <c r="B616" s="7"/>
      <c r="C616" s="7"/>
      <c r="D616" s="7"/>
      <c r="P616" s="21"/>
      <c r="R616" s="5"/>
      <c r="S616" s="5"/>
      <c r="T616" s="7"/>
    </row>
    <row r="617" spans="1:20" ht="14.25">
      <c r="A617" s="7"/>
      <c r="B617" s="7"/>
      <c r="C617" s="7"/>
      <c r="D617" s="7"/>
      <c r="P617" s="21"/>
      <c r="R617" s="5"/>
      <c r="S617" s="5"/>
      <c r="T617" s="7"/>
    </row>
    <row r="618" spans="1:20" ht="14.25">
      <c r="A618" s="7"/>
      <c r="B618" s="7"/>
      <c r="C618" s="7"/>
      <c r="D618" s="7"/>
      <c r="P618" s="21"/>
      <c r="R618" s="5"/>
      <c r="S618" s="5"/>
      <c r="T618" s="7"/>
    </row>
    <row r="619" spans="1:20" ht="14.25">
      <c r="A619" s="7"/>
      <c r="B619" s="7"/>
      <c r="C619" s="7"/>
      <c r="D619" s="7"/>
      <c r="P619" s="21"/>
      <c r="R619" s="5"/>
      <c r="S619" s="5"/>
      <c r="T619" s="7"/>
    </row>
    <row r="620" spans="1:20" ht="14.25">
      <c r="A620" s="7"/>
      <c r="B620" s="7"/>
      <c r="C620" s="7"/>
      <c r="D620" s="7"/>
      <c r="P620" s="21"/>
      <c r="R620" s="5"/>
      <c r="S620" s="5"/>
      <c r="T620" s="7"/>
    </row>
    <row r="621" spans="1:20" ht="14.25">
      <c r="A621" s="7"/>
      <c r="B621" s="7"/>
      <c r="C621" s="7"/>
      <c r="D621" s="7"/>
      <c r="P621" s="21"/>
      <c r="R621" s="5"/>
      <c r="S621" s="5"/>
      <c r="T621" s="7"/>
    </row>
    <row r="622" spans="1:20" ht="14.25">
      <c r="A622" s="7"/>
      <c r="B622" s="7"/>
      <c r="C622" s="7"/>
      <c r="D622" s="7"/>
      <c r="P622" s="21"/>
      <c r="R622" s="5"/>
      <c r="S622" s="5"/>
      <c r="T622" s="7"/>
    </row>
    <row r="623" spans="1:20" ht="14.25">
      <c r="A623" s="7"/>
      <c r="B623" s="7"/>
      <c r="C623" s="7"/>
      <c r="D623" s="7"/>
      <c r="P623" s="21"/>
      <c r="R623" s="5"/>
      <c r="S623" s="5"/>
      <c r="T623" s="7"/>
    </row>
    <row r="624" spans="1:20" ht="14.25">
      <c r="A624" s="7"/>
      <c r="B624" s="7"/>
      <c r="C624" s="7"/>
      <c r="D624" s="7"/>
      <c r="P624" s="21"/>
      <c r="R624" s="5"/>
      <c r="S624" s="5"/>
      <c r="T624" s="7"/>
    </row>
    <row r="625" spans="1:20" ht="14.25">
      <c r="A625" s="7"/>
      <c r="B625" s="7"/>
      <c r="C625" s="7"/>
      <c r="D625" s="7"/>
      <c r="P625" s="21"/>
      <c r="R625" s="5"/>
      <c r="S625" s="5"/>
      <c r="T625" s="7"/>
    </row>
    <row r="626" spans="1:20" ht="14.25">
      <c r="A626" s="7"/>
      <c r="B626" s="7"/>
      <c r="C626" s="7"/>
      <c r="D626" s="7"/>
      <c r="P626" s="21"/>
      <c r="R626" s="5"/>
      <c r="S626" s="5"/>
      <c r="T626" s="7"/>
    </row>
    <row r="627" spans="1:20" ht="14.25">
      <c r="A627" s="7"/>
      <c r="B627" s="7"/>
      <c r="C627" s="7"/>
      <c r="D627" s="7"/>
      <c r="P627" s="21"/>
      <c r="R627" s="5"/>
      <c r="S627" s="5"/>
      <c r="T627" s="7"/>
    </row>
    <row r="628" spans="1:20" ht="14.25">
      <c r="A628" s="7"/>
      <c r="B628" s="7"/>
      <c r="C628" s="7"/>
      <c r="D628" s="7"/>
      <c r="P628" s="21"/>
      <c r="R628" s="5"/>
      <c r="S628" s="5"/>
      <c r="T628" s="7"/>
    </row>
    <row r="629" spans="1:20" ht="14.25">
      <c r="A629" s="7"/>
      <c r="B629" s="7"/>
      <c r="C629" s="7"/>
      <c r="D629" s="7"/>
      <c r="P629" s="21"/>
      <c r="R629" s="5"/>
      <c r="S629" s="5"/>
      <c r="T629" s="7"/>
    </row>
    <row r="630" spans="1:20" ht="14.25">
      <c r="A630" s="7"/>
      <c r="B630" s="7"/>
      <c r="C630" s="7"/>
      <c r="D630" s="7"/>
      <c r="P630" s="21"/>
      <c r="R630" s="5"/>
      <c r="S630" s="5"/>
      <c r="T630" s="7"/>
    </row>
    <row r="631" spans="1:20" ht="14.25">
      <c r="A631" s="7"/>
      <c r="B631" s="7"/>
      <c r="C631" s="7"/>
      <c r="D631" s="7"/>
      <c r="P631" s="21"/>
      <c r="R631" s="5"/>
      <c r="S631" s="5"/>
      <c r="T631" s="7"/>
    </row>
    <row r="632" spans="1:20" ht="14.25">
      <c r="A632" s="7"/>
      <c r="B632" s="7"/>
      <c r="C632" s="7"/>
      <c r="D632" s="7"/>
      <c r="P632" s="21"/>
      <c r="R632" s="5"/>
      <c r="S632" s="5"/>
      <c r="T632" s="7"/>
    </row>
    <row r="633" spans="1:20" ht="14.25">
      <c r="A633" s="7"/>
      <c r="B633" s="7"/>
      <c r="C633" s="7"/>
      <c r="D633" s="7"/>
      <c r="P633" s="21"/>
      <c r="R633" s="5"/>
      <c r="S633" s="5"/>
      <c r="T633" s="7"/>
    </row>
    <row r="634" spans="1:20" ht="14.25">
      <c r="A634" s="7"/>
      <c r="B634" s="7"/>
      <c r="C634" s="7"/>
      <c r="D634" s="7"/>
      <c r="P634" s="21"/>
      <c r="R634" s="5"/>
      <c r="S634" s="5"/>
      <c r="T634" s="7"/>
    </row>
    <row r="635" spans="1:20" ht="14.25">
      <c r="A635" s="7"/>
      <c r="B635" s="7"/>
      <c r="C635" s="7"/>
      <c r="D635" s="7"/>
      <c r="P635" s="21"/>
      <c r="R635" s="5"/>
      <c r="S635" s="5"/>
      <c r="T635" s="7"/>
    </row>
    <row r="636" spans="1:20" ht="14.25">
      <c r="A636" s="7"/>
      <c r="B636" s="7"/>
      <c r="C636" s="7"/>
      <c r="D636" s="7"/>
      <c r="P636" s="21"/>
      <c r="R636" s="5"/>
      <c r="S636" s="5"/>
      <c r="T636" s="7"/>
    </row>
    <row r="637" spans="1:20" ht="14.25">
      <c r="A637" s="7"/>
      <c r="B637" s="7"/>
      <c r="C637" s="7"/>
      <c r="D637" s="7"/>
      <c r="P637" s="21"/>
      <c r="R637" s="5"/>
      <c r="S637" s="5"/>
      <c r="T637" s="7"/>
    </row>
    <row r="638" spans="1:20" ht="14.25">
      <c r="A638" s="7"/>
      <c r="B638" s="7"/>
      <c r="C638" s="7"/>
      <c r="D638" s="7"/>
      <c r="P638" s="21"/>
      <c r="R638" s="5"/>
      <c r="S638" s="5"/>
      <c r="T638" s="7"/>
    </row>
    <row r="639" spans="1:20" ht="14.25">
      <c r="A639" s="7"/>
      <c r="B639" s="7"/>
      <c r="C639" s="7"/>
      <c r="D639" s="7"/>
      <c r="P639" s="21"/>
      <c r="R639" s="5"/>
      <c r="S639" s="5"/>
      <c r="T639" s="7"/>
    </row>
    <row r="640" spans="1:20" ht="14.25">
      <c r="A640" s="7"/>
      <c r="B640" s="7"/>
      <c r="C640" s="7"/>
      <c r="D640" s="7"/>
      <c r="P640" s="21"/>
      <c r="R640" s="5"/>
      <c r="S640" s="5"/>
      <c r="T640" s="7"/>
    </row>
    <row r="641" spans="1:20" ht="14.25">
      <c r="A641" s="7"/>
      <c r="B641" s="7"/>
      <c r="C641" s="7"/>
      <c r="D641" s="7"/>
      <c r="P641" s="21"/>
      <c r="R641" s="5"/>
      <c r="S641" s="5"/>
      <c r="T641" s="7"/>
    </row>
    <row r="642" spans="1:20" ht="14.25">
      <c r="A642" s="7"/>
      <c r="B642" s="7"/>
      <c r="C642" s="7"/>
      <c r="D642" s="7"/>
      <c r="P642" s="21"/>
      <c r="R642" s="5"/>
      <c r="S642" s="5"/>
      <c r="T642" s="7"/>
    </row>
    <row r="643" spans="1:20" ht="14.25">
      <c r="A643" s="7"/>
      <c r="B643" s="7"/>
      <c r="C643" s="7"/>
      <c r="D643" s="7"/>
      <c r="P643" s="21"/>
      <c r="R643" s="5"/>
      <c r="S643" s="5"/>
      <c r="T643" s="7"/>
    </row>
    <row r="644" spans="1:20" ht="14.25">
      <c r="A644" s="7"/>
      <c r="B644" s="7"/>
      <c r="C644" s="7"/>
      <c r="D644" s="7"/>
      <c r="P644" s="21"/>
      <c r="R644" s="5"/>
      <c r="S644" s="5"/>
      <c r="T644" s="7"/>
    </row>
    <row r="645" spans="1:20" ht="14.25">
      <c r="A645" s="7"/>
      <c r="B645" s="7"/>
      <c r="C645" s="7"/>
      <c r="D645" s="7"/>
      <c r="P645" s="21"/>
      <c r="R645" s="5"/>
      <c r="S645" s="5"/>
      <c r="T645" s="7"/>
    </row>
    <row r="646" spans="1:20" ht="14.25">
      <c r="A646" s="7"/>
      <c r="B646" s="7"/>
      <c r="C646" s="7"/>
      <c r="D646" s="7"/>
      <c r="P646" s="21"/>
      <c r="R646" s="5"/>
      <c r="S646" s="5"/>
      <c r="T646" s="7"/>
    </row>
    <row r="647" spans="1:20" ht="14.25">
      <c r="A647" s="7"/>
      <c r="B647" s="7"/>
      <c r="C647" s="7"/>
      <c r="D647" s="7"/>
      <c r="P647" s="21"/>
      <c r="R647" s="5"/>
      <c r="S647" s="5"/>
      <c r="T647" s="7"/>
    </row>
    <row r="648" spans="1:20" ht="14.25">
      <c r="A648" s="7"/>
      <c r="B648" s="7"/>
      <c r="C648" s="7"/>
      <c r="D648" s="7"/>
      <c r="P648" s="21"/>
      <c r="R648" s="5"/>
      <c r="S648" s="5"/>
      <c r="T648" s="7"/>
    </row>
    <row r="649" spans="1:20" ht="14.25">
      <c r="A649" s="7"/>
      <c r="B649" s="7"/>
      <c r="C649" s="7"/>
      <c r="D649" s="7"/>
      <c r="P649" s="21"/>
      <c r="R649" s="5"/>
      <c r="S649" s="5"/>
      <c r="T649" s="7"/>
    </row>
    <row r="650" spans="1:20" ht="14.25">
      <c r="A650" s="7"/>
      <c r="B650" s="7"/>
      <c r="C650" s="7"/>
      <c r="D650" s="7"/>
      <c r="P650" s="21"/>
      <c r="R650" s="5"/>
      <c r="S650" s="5"/>
      <c r="T650" s="7"/>
    </row>
    <row r="651" spans="1:20" ht="14.25">
      <c r="A651" s="7"/>
      <c r="B651" s="7"/>
      <c r="C651" s="7"/>
      <c r="D651" s="7"/>
      <c r="P651" s="21"/>
      <c r="R651" s="5"/>
      <c r="S651" s="5"/>
      <c r="T651" s="7"/>
    </row>
    <row r="652" spans="1:20" ht="14.25">
      <c r="A652" s="7"/>
      <c r="B652" s="7"/>
      <c r="C652" s="7"/>
      <c r="D652" s="7"/>
      <c r="P652" s="21"/>
      <c r="R652" s="5"/>
      <c r="S652" s="5"/>
      <c r="T652" s="7"/>
    </row>
    <row r="653" spans="1:20" ht="14.25">
      <c r="A653" s="7"/>
      <c r="B653" s="7"/>
      <c r="C653" s="7"/>
      <c r="D653" s="7"/>
      <c r="P653" s="21"/>
      <c r="R653" s="5"/>
      <c r="S653" s="5"/>
      <c r="T653" s="7"/>
    </row>
    <row r="654" spans="1:20" ht="14.25">
      <c r="A654" s="7"/>
      <c r="B654" s="7"/>
      <c r="C654" s="7"/>
      <c r="D654" s="7"/>
      <c r="P654" s="21"/>
      <c r="R654" s="5"/>
      <c r="S654" s="5"/>
      <c r="T654" s="7"/>
    </row>
    <row r="655" spans="1:20" ht="14.25">
      <c r="A655" s="7"/>
      <c r="B655" s="7"/>
      <c r="C655" s="7"/>
      <c r="D655" s="7"/>
      <c r="P655" s="21"/>
      <c r="R655" s="5"/>
      <c r="S655" s="5"/>
      <c r="T655" s="7"/>
    </row>
    <row r="656" spans="1:20" ht="14.25">
      <c r="A656" s="7"/>
      <c r="B656" s="7"/>
      <c r="C656" s="7"/>
      <c r="D656" s="7"/>
      <c r="P656" s="21"/>
      <c r="R656" s="5"/>
      <c r="S656" s="5"/>
      <c r="T656" s="7"/>
    </row>
    <row r="657" spans="1:20" ht="14.25">
      <c r="A657" s="7"/>
      <c r="B657" s="7"/>
      <c r="C657" s="7"/>
      <c r="D657" s="7"/>
      <c r="P657" s="21"/>
      <c r="R657" s="5"/>
      <c r="S657" s="5"/>
      <c r="T657" s="7"/>
    </row>
    <row r="658" spans="1:20" ht="14.25">
      <c r="A658" s="7"/>
      <c r="B658" s="7"/>
      <c r="C658" s="7"/>
      <c r="D658" s="7"/>
      <c r="P658" s="21"/>
      <c r="R658" s="5"/>
      <c r="S658" s="5"/>
      <c r="T658" s="7"/>
    </row>
    <row r="659" spans="1:20" ht="14.25">
      <c r="A659" s="7"/>
      <c r="B659" s="7"/>
      <c r="C659" s="7"/>
      <c r="D659" s="7"/>
      <c r="P659" s="21"/>
      <c r="R659" s="5"/>
      <c r="S659" s="5"/>
      <c r="T659" s="7"/>
    </row>
    <row r="660" spans="1:20" ht="14.25">
      <c r="A660" s="7"/>
      <c r="B660" s="7"/>
      <c r="C660" s="7"/>
      <c r="D660" s="7"/>
      <c r="P660" s="21"/>
      <c r="R660" s="5"/>
      <c r="S660" s="5"/>
      <c r="T660" s="7"/>
    </row>
    <row r="661" spans="1:20" ht="14.25">
      <c r="A661" s="7"/>
      <c r="B661" s="7"/>
      <c r="C661" s="7"/>
      <c r="D661" s="7"/>
      <c r="P661" s="21"/>
      <c r="R661" s="5"/>
      <c r="S661" s="5"/>
      <c r="T661" s="7"/>
    </row>
    <row r="662" spans="1:20" ht="14.25">
      <c r="A662" s="7"/>
      <c r="B662" s="7"/>
      <c r="C662" s="7"/>
      <c r="D662" s="7"/>
      <c r="P662" s="21"/>
      <c r="R662" s="5"/>
      <c r="S662" s="5"/>
      <c r="T662" s="7"/>
    </row>
    <row r="663" spans="1:20" ht="14.25">
      <c r="A663" s="7"/>
      <c r="B663" s="7"/>
      <c r="C663" s="7"/>
      <c r="D663" s="7"/>
      <c r="P663" s="21"/>
      <c r="R663" s="5"/>
      <c r="S663" s="5"/>
      <c r="T663" s="7"/>
    </row>
    <row r="664" spans="1:20" ht="14.25">
      <c r="A664" s="7"/>
      <c r="B664" s="7"/>
      <c r="C664" s="7"/>
      <c r="D664" s="7"/>
      <c r="P664" s="21"/>
      <c r="R664" s="5"/>
      <c r="S664" s="5"/>
      <c r="T664" s="7"/>
    </row>
    <row r="665" spans="1:20" ht="14.25">
      <c r="A665" s="7"/>
      <c r="B665" s="7"/>
      <c r="C665" s="7"/>
      <c r="D665" s="7"/>
      <c r="P665" s="21"/>
      <c r="R665" s="5"/>
      <c r="S665" s="5"/>
      <c r="T665" s="7"/>
    </row>
    <row r="666" spans="1:20" ht="14.25">
      <c r="A666" s="7"/>
      <c r="B666" s="7"/>
      <c r="C666" s="7"/>
      <c r="D666" s="7"/>
      <c r="P666" s="21"/>
      <c r="R666" s="5"/>
      <c r="S666" s="5"/>
      <c r="T666" s="7"/>
    </row>
    <row r="667" spans="1:20" ht="14.25">
      <c r="A667" s="7"/>
      <c r="B667" s="7"/>
      <c r="C667" s="7"/>
      <c r="D667" s="7"/>
      <c r="P667" s="21"/>
      <c r="R667" s="5"/>
      <c r="S667" s="5"/>
      <c r="T667" s="7"/>
    </row>
    <row r="668" spans="1:20" ht="14.25">
      <c r="A668" s="7"/>
      <c r="B668" s="7"/>
      <c r="C668" s="7"/>
      <c r="D668" s="7"/>
      <c r="P668" s="21"/>
      <c r="R668" s="5"/>
      <c r="S668" s="5"/>
      <c r="T668" s="7"/>
    </row>
    <row r="669" spans="1:20" ht="14.25">
      <c r="A669" s="7"/>
      <c r="B669" s="7"/>
      <c r="C669" s="7"/>
      <c r="D669" s="7"/>
      <c r="P669" s="21"/>
      <c r="R669" s="5"/>
      <c r="S669" s="5"/>
      <c r="T669" s="7"/>
    </row>
    <row r="670" spans="1:20" ht="14.25">
      <c r="A670" s="7"/>
      <c r="B670" s="7"/>
      <c r="C670" s="7"/>
      <c r="D670" s="7"/>
      <c r="P670" s="21"/>
      <c r="R670" s="5"/>
      <c r="S670" s="5"/>
      <c r="T670" s="7"/>
    </row>
    <row r="671" spans="1:20" ht="14.25">
      <c r="A671" s="7"/>
      <c r="B671" s="7"/>
      <c r="C671" s="7"/>
      <c r="D671" s="7"/>
      <c r="P671" s="21"/>
      <c r="R671" s="5"/>
      <c r="S671" s="5"/>
      <c r="T671" s="7"/>
    </row>
    <row r="672" spans="1:20" ht="14.25">
      <c r="A672" s="7"/>
      <c r="B672" s="7"/>
      <c r="C672" s="7"/>
      <c r="D672" s="7"/>
      <c r="P672" s="21"/>
      <c r="R672" s="5"/>
      <c r="S672" s="5"/>
      <c r="T672" s="7"/>
    </row>
    <row r="673" spans="1:20" ht="14.25">
      <c r="A673" s="7"/>
      <c r="B673" s="7"/>
      <c r="C673" s="7"/>
      <c r="D673" s="7"/>
      <c r="P673" s="21"/>
      <c r="R673" s="5"/>
      <c r="S673" s="5"/>
      <c r="T673" s="7"/>
    </row>
    <row r="674" spans="1:20" ht="14.25">
      <c r="A674" s="7"/>
      <c r="B674" s="7"/>
      <c r="C674" s="7"/>
      <c r="D674" s="7"/>
      <c r="P674" s="21"/>
      <c r="R674" s="5"/>
      <c r="S674" s="5"/>
      <c r="T674" s="7"/>
    </row>
    <row r="675" spans="1:20" ht="14.25">
      <c r="A675" s="7"/>
      <c r="B675" s="7"/>
      <c r="C675" s="7"/>
      <c r="D675" s="7"/>
      <c r="P675" s="21"/>
      <c r="R675" s="5"/>
      <c r="S675" s="5"/>
      <c r="T675" s="7"/>
    </row>
    <row r="676" spans="1:20" ht="14.25">
      <c r="A676" s="7"/>
      <c r="B676" s="7"/>
      <c r="C676" s="7"/>
      <c r="D676" s="7"/>
      <c r="P676" s="21"/>
      <c r="R676" s="5"/>
      <c r="S676" s="5"/>
      <c r="T676" s="7"/>
    </row>
    <row r="677" spans="1:20" ht="14.25">
      <c r="A677" s="7"/>
      <c r="B677" s="7"/>
      <c r="C677" s="7"/>
      <c r="D677" s="7"/>
      <c r="P677" s="21"/>
      <c r="R677" s="5"/>
      <c r="S677" s="5"/>
      <c r="T677" s="7"/>
    </row>
    <row r="678" spans="1:20" ht="14.25">
      <c r="A678" s="7"/>
      <c r="B678" s="7"/>
      <c r="C678" s="7"/>
      <c r="D678" s="7"/>
      <c r="P678" s="21"/>
      <c r="R678" s="5"/>
      <c r="S678" s="5"/>
      <c r="T678" s="7"/>
    </row>
    <row r="679" spans="1:20" ht="14.25">
      <c r="A679" s="7"/>
      <c r="B679" s="7"/>
      <c r="C679" s="7"/>
      <c r="D679" s="7"/>
      <c r="P679" s="21"/>
      <c r="R679" s="5"/>
      <c r="S679" s="5"/>
      <c r="T679" s="7"/>
    </row>
    <row r="680" spans="1:20" ht="14.25">
      <c r="A680" s="7"/>
      <c r="B680" s="7"/>
      <c r="C680" s="7"/>
      <c r="D680" s="7"/>
      <c r="P680" s="21"/>
      <c r="R680" s="5"/>
      <c r="S680" s="5"/>
      <c r="T680" s="7"/>
    </row>
    <row r="681" spans="1:20" ht="14.25">
      <c r="A681" s="7"/>
      <c r="B681" s="7"/>
      <c r="C681" s="7"/>
      <c r="D681" s="7"/>
      <c r="P681" s="21"/>
      <c r="R681" s="5"/>
      <c r="S681" s="5"/>
      <c r="T681" s="7"/>
    </row>
    <row r="682" spans="1:20" ht="14.25">
      <c r="A682" s="7"/>
      <c r="B682" s="7"/>
      <c r="C682" s="7"/>
      <c r="D682" s="7"/>
      <c r="P682" s="21"/>
      <c r="R682" s="5"/>
      <c r="S682" s="5"/>
      <c r="T682" s="7"/>
    </row>
    <row r="683" spans="1:20" ht="14.25">
      <c r="A683" s="7"/>
      <c r="B683" s="7"/>
      <c r="C683" s="7"/>
      <c r="D683" s="7"/>
      <c r="P683" s="21"/>
      <c r="R683" s="5"/>
      <c r="S683" s="5"/>
      <c r="T683" s="7"/>
    </row>
    <row r="684" spans="1:20" ht="14.25">
      <c r="A684" s="7"/>
      <c r="B684" s="7"/>
      <c r="C684" s="7"/>
      <c r="D684" s="7"/>
      <c r="P684" s="21"/>
      <c r="R684" s="5"/>
      <c r="S684" s="5"/>
      <c r="T684" s="7"/>
    </row>
    <row r="685" spans="1:20" ht="14.25">
      <c r="A685" s="7"/>
      <c r="B685" s="7"/>
      <c r="C685" s="7"/>
      <c r="D685" s="7"/>
      <c r="P685" s="21"/>
      <c r="R685" s="5"/>
      <c r="S685" s="5"/>
      <c r="T685" s="7"/>
    </row>
    <row r="686" spans="1:20" ht="14.25">
      <c r="A686" s="7"/>
      <c r="B686" s="7"/>
      <c r="C686" s="7"/>
      <c r="D686" s="7"/>
      <c r="P686" s="21"/>
      <c r="R686" s="5"/>
      <c r="S686" s="5"/>
      <c r="T686" s="7"/>
    </row>
    <row r="687" spans="1:20" ht="14.25">
      <c r="A687" s="7"/>
      <c r="B687" s="7"/>
      <c r="C687" s="7"/>
      <c r="D687" s="7"/>
      <c r="P687" s="21"/>
      <c r="R687" s="5"/>
      <c r="S687" s="5"/>
      <c r="T687" s="7"/>
    </row>
    <row r="688" spans="1:20" ht="14.25">
      <c r="A688" s="7"/>
      <c r="B688" s="7"/>
      <c r="C688" s="7"/>
      <c r="D688" s="7"/>
      <c r="P688" s="21"/>
      <c r="R688" s="5"/>
      <c r="S688" s="5"/>
      <c r="T688" s="7"/>
    </row>
    <row r="689" spans="1:20" ht="14.25">
      <c r="A689" s="7"/>
      <c r="B689" s="7"/>
      <c r="C689" s="7"/>
      <c r="D689" s="7"/>
      <c r="P689" s="21"/>
      <c r="R689" s="5"/>
      <c r="S689" s="5"/>
      <c r="T689" s="7"/>
    </row>
    <row r="690" spans="1:20" ht="14.25">
      <c r="A690" s="7"/>
      <c r="B690" s="7"/>
      <c r="C690" s="7"/>
      <c r="D690" s="7"/>
      <c r="P690" s="21"/>
      <c r="R690" s="5"/>
      <c r="S690" s="5"/>
      <c r="T690" s="7"/>
    </row>
    <row r="691" spans="1:20" ht="14.25">
      <c r="A691" s="7"/>
      <c r="B691" s="7"/>
      <c r="C691" s="7"/>
      <c r="D691" s="7"/>
      <c r="P691" s="21"/>
      <c r="R691" s="5"/>
      <c r="S691" s="5"/>
      <c r="T691" s="7"/>
    </row>
    <row r="692" spans="1:20" ht="14.25">
      <c r="A692" s="7"/>
      <c r="B692" s="7"/>
      <c r="C692" s="7"/>
      <c r="D692" s="7"/>
      <c r="P692" s="21"/>
      <c r="R692" s="5"/>
      <c r="S692" s="5"/>
      <c r="T692" s="7"/>
    </row>
    <row r="693" spans="1:20" ht="14.25">
      <c r="A693" s="7"/>
      <c r="B693" s="7"/>
      <c r="C693" s="7"/>
      <c r="D693" s="7"/>
      <c r="P693" s="21"/>
      <c r="R693" s="5"/>
      <c r="S693" s="5"/>
      <c r="T693" s="7"/>
    </row>
    <row r="694" spans="1:20" ht="14.25">
      <c r="A694" s="7"/>
      <c r="B694" s="7"/>
      <c r="C694" s="7"/>
      <c r="D694" s="7"/>
      <c r="P694" s="21"/>
      <c r="R694" s="5"/>
      <c r="S694" s="5"/>
      <c r="T694" s="7"/>
    </row>
    <row r="695" spans="1:20" ht="14.25">
      <c r="A695" s="7"/>
      <c r="B695" s="7"/>
      <c r="C695" s="7"/>
      <c r="D695" s="7"/>
      <c r="P695" s="21"/>
      <c r="R695" s="5"/>
      <c r="S695" s="5"/>
      <c r="T695" s="7"/>
    </row>
    <row r="696" spans="1:20" ht="14.25">
      <c r="A696" s="7"/>
      <c r="B696" s="7"/>
      <c r="C696" s="7"/>
      <c r="D696" s="7"/>
      <c r="P696" s="21"/>
      <c r="R696" s="5"/>
      <c r="S696" s="5"/>
      <c r="T696" s="7"/>
    </row>
    <row r="697" spans="1:20" ht="14.25">
      <c r="A697" s="7"/>
      <c r="B697" s="7"/>
      <c r="C697" s="7"/>
      <c r="D697" s="7"/>
      <c r="P697" s="21"/>
      <c r="R697" s="5"/>
      <c r="S697" s="5"/>
      <c r="T697" s="7"/>
    </row>
    <row r="698" spans="1:20" ht="14.25">
      <c r="A698" s="7"/>
      <c r="B698" s="7"/>
      <c r="C698" s="7"/>
      <c r="D698" s="7"/>
      <c r="P698" s="21"/>
      <c r="R698" s="5"/>
      <c r="S698" s="5"/>
      <c r="T698" s="7"/>
    </row>
    <row r="699" spans="1:20" ht="14.25">
      <c r="A699" s="7"/>
      <c r="B699" s="7"/>
      <c r="C699" s="7"/>
      <c r="D699" s="7"/>
      <c r="P699" s="21"/>
      <c r="R699" s="5"/>
      <c r="S699" s="5"/>
      <c r="T699" s="7"/>
    </row>
    <row r="700" spans="1:20" ht="14.25">
      <c r="A700" s="7"/>
      <c r="B700" s="7"/>
      <c r="C700" s="7"/>
      <c r="D700" s="7"/>
      <c r="P700" s="21"/>
      <c r="R700" s="5"/>
      <c r="S700" s="5"/>
      <c r="T700" s="7"/>
    </row>
    <row r="701" spans="1:20" ht="14.25">
      <c r="A701" s="7"/>
      <c r="B701" s="7"/>
      <c r="C701" s="7"/>
      <c r="D701" s="7"/>
      <c r="P701" s="21"/>
      <c r="R701" s="5"/>
      <c r="S701" s="5"/>
      <c r="T701" s="7"/>
    </row>
    <row r="702" spans="1:20" ht="14.25">
      <c r="A702" s="7"/>
      <c r="B702" s="7"/>
      <c r="C702" s="7"/>
      <c r="D702" s="7"/>
      <c r="P702" s="21"/>
      <c r="R702" s="5"/>
      <c r="S702" s="5"/>
      <c r="T702" s="7"/>
    </row>
    <row r="703" spans="1:20" ht="14.25">
      <c r="A703" s="7"/>
      <c r="B703" s="7"/>
      <c r="C703" s="7"/>
      <c r="D703" s="7"/>
      <c r="P703" s="21"/>
      <c r="R703" s="5"/>
      <c r="S703" s="5"/>
      <c r="T703" s="7"/>
    </row>
    <row r="704" spans="1:20" ht="14.25">
      <c r="A704" s="7"/>
      <c r="B704" s="7"/>
      <c r="C704" s="7"/>
      <c r="D704" s="7"/>
      <c r="P704" s="21"/>
      <c r="R704" s="5"/>
      <c r="S704" s="5"/>
      <c r="T704" s="7"/>
    </row>
    <row r="705" spans="1:20" ht="14.25">
      <c r="A705" s="7"/>
      <c r="B705" s="7"/>
      <c r="C705" s="7"/>
      <c r="D705" s="7"/>
      <c r="P705" s="21"/>
      <c r="R705" s="5"/>
      <c r="S705" s="5"/>
      <c r="T705" s="7"/>
    </row>
    <row r="706" spans="1:20" ht="14.25">
      <c r="A706" s="7"/>
      <c r="B706" s="7"/>
      <c r="C706" s="7"/>
      <c r="D706" s="7"/>
      <c r="P706" s="21"/>
      <c r="R706" s="5"/>
      <c r="S706" s="5"/>
      <c r="T706" s="7"/>
    </row>
    <row r="707" spans="1:20" ht="14.25">
      <c r="A707" s="7"/>
      <c r="B707" s="7"/>
      <c r="C707" s="7"/>
      <c r="D707" s="7"/>
      <c r="P707" s="21"/>
      <c r="R707" s="5"/>
      <c r="S707" s="5"/>
      <c r="T707" s="7"/>
    </row>
    <row r="708" spans="1:20" ht="14.25">
      <c r="A708" s="7"/>
      <c r="B708" s="7"/>
      <c r="C708" s="7"/>
      <c r="D708" s="7"/>
      <c r="P708" s="21"/>
      <c r="R708" s="5"/>
      <c r="S708" s="5"/>
      <c r="T708" s="7"/>
    </row>
    <row r="709" spans="1:20" ht="14.25">
      <c r="A709" s="7"/>
      <c r="B709" s="7"/>
      <c r="C709" s="7"/>
      <c r="D709" s="7"/>
      <c r="P709" s="21"/>
      <c r="R709" s="5"/>
      <c r="S709" s="5"/>
      <c r="T709" s="7"/>
    </row>
    <row r="710" spans="1:20" ht="14.25">
      <c r="A710" s="7"/>
      <c r="B710" s="7"/>
      <c r="C710" s="7"/>
      <c r="D710" s="7"/>
      <c r="P710" s="21"/>
      <c r="R710" s="5"/>
      <c r="S710" s="5"/>
      <c r="T710" s="7"/>
    </row>
    <row r="711" spans="1:20" ht="14.25">
      <c r="A711" s="7"/>
      <c r="B711" s="7"/>
      <c r="C711" s="7"/>
      <c r="D711" s="7"/>
      <c r="P711" s="21"/>
      <c r="R711" s="5"/>
      <c r="S711" s="5"/>
      <c r="T711" s="7"/>
    </row>
    <row r="712" spans="1:20" ht="14.25">
      <c r="A712" s="7"/>
      <c r="B712" s="7"/>
      <c r="C712" s="7"/>
      <c r="D712" s="7"/>
      <c r="P712" s="21"/>
      <c r="R712" s="5"/>
      <c r="S712" s="5"/>
      <c r="T712" s="7"/>
    </row>
    <row r="713" spans="1:20" ht="14.25">
      <c r="A713" s="7"/>
      <c r="B713" s="7"/>
      <c r="C713" s="7"/>
      <c r="D713" s="7"/>
      <c r="P713" s="21"/>
      <c r="R713" s="5"/>
      <c r="S713" s="5"/>
      <c r="T713" s="7"/>
    </row>
    <row r="714" spans="1:20" ht="14.25">
      <c r="A714" s="7"/>
      <c r="B714" s="7"/>
      <c r="C714" s="7"/>
      <c r="D714" s="7"/>
      <c r="P714" s="21"/>
      <c r="R714" s="5"/>
      <c r="S714" s="5"/>
      <c r="T714" s="7"/>
    </row>
    <row r="715" spans="1:20" ht="14.25">
      <c r="A715" s="7"/>
      <c r="B715" s="7"/>
      <c r="C715" s="7"/>
      <c r="D715" s="7"/>
      <c r="P715" s="21"/>
      <c r="R715" s="5"/>
      <c r="S715" s="5"/>
      <c r="T715" s="7"/>
    </row>
    <row r="716" spans="1:20" ht="14.25">
      <c r="A716" s="7"/>
      <c r="B716" s="7"/>
      <c r="C716" s="7"/>
      <c r="D716" s="7"/>
      <c r="P716" s="21"/>
      <c r="R716" s="5"/>
      <c r="S716" s="5"/>
      <c r="T716" s="7"/>
    </row>
    <row r="717" spans="1:20" ht="14.25">
      <c r="A717" s="7"/>
      <c r="B717" s="7"/>
      <c r="C717" s="7"/>
      <c r="D717" s="7"/>
      <c r="P717" s="21"/>
      <c r="R717" s="5"/>
      <c r="S717" s="5"/>
      <c r="T717" s="7"/>
    </row>
    <row r="718" spans="1:20" ht="14.25">
      <c r="A718" s="7"/>
      <c r="B718" s="7"/>
      <c r="C718" s="7"/>
      <c r="D718" s="7"/>
      <c r="P718" s="21"/>
      <c r="R718" s="5"/>
      <c r="S718" s="5"/>
      <c r="T718" s="7"/>
    </row>
    <row r="719" spans="1:20" ht="14.25">
      <c r="A719" s="7"/>
      <c r="B719" s="7"/>
      <c r="C719" s="7"/>
      <c r="D719" s="7"/>
      <c r="P719" s="21"/>
      <c r="R719" s="5"/>
      <c r="S719" s="5"/>
      <c r="T719" s="7"/>
    </row>
    <row r="720" spans="1:20" ht="14.25">
      <c r="A720" s="7"/>
      <c r="B720" s="7"/>
      <c r="C720" s="7"/>
      <c r="D720" s="7"/>
      <c r="P720" s="21"/>
      <c r="R720" s="5"/>
      <c r="S720" s="5"/>
      <c r="T720" s="7"/>
    </row>
    <row r="721" spans="1:20" ht="14.25">
      <c r="A721" s="7"/>
      <c r="B721" s="7"/>
      <c r="C721" s="7"/>
      <c r="D721" s="7"/>
      <c r="P721" s="21"/>
      <c r="R721" s="5"/>
      <c r="S721" s="5"/>
      <c r="T721" s="7"/>
    </row>
    <row r="722" spans="1:20" ht="14.25">
      <c r="A722" s="7"/>
      <c r="B722" s="7"/>
      <c r="C722" s="7"/>
      <c r="D722" s="7"/>
      <c r="P722" s="21"/>
      <c r="R722" s="5"/>
      <c r="S722" s="5"/>
      <c r="T722" s="7"/>
    </row>
    <row r="723" spans="1:20" ht="14.25">
      <c r="A723" s="7"/>
      <c r="B723" s="7"/>
      <c r="C723" s="7"/>
      <c r="D723" s="7"/>
      <c r="P723" s="21"/>
      <c r="R723" s="5"/>
      <c r="S723" s="5"/>
      <c r="T723" s="7"/>
    </row>
    <row r="724" spans="1:20" ht="14.25">
      <c r="A724" s="7"/>
      <c r="B724" s="7"/>
      <c r="C724" s="7"/>
      <c r="D724" s="7"/>
      <c r="P724" s="21"/>
      <c r="R724" s="5"/>
      <c r="S724" s="5"/>
      <c r="T724" s="7"/>
    </row>
    <row r="725" spans="1:20" ht="14.25">
      <c r="A725" s="7"/>
      <c r="B725" s="7"/>
      <c r="C725" s="7"/>
      <c r="D725" s="7"/>
      <c r="P725" s="21"/>
      <c r="R725" s="5"/>
      <c r="S725" s="5"/>
      <c r="T725" s="7"/>
    </row>
    <row r="726" spans="1:20" ht="14.25">
      <c r="A726" s="7"/>
      <c r="B726" s="7"/>
      <c r="C726" s="7"/>
      <c r="D726" s="7"/>
      <c r="P726" s="21"/>
      <c r="R726" s="5"/>
      <c r="S726" s="5"/>
      <c r="T726" s="7"/>
    </row>
    <row r="727" spans="1:20" ht="14.25">
      <c r="A727" s="7"/>
      <c r="B727" s="7"/>
      <c r="C727" s="7"/>
      <c r="D727" s="7"/>
      <c r="P727" s="21"/>
      <c r="R727" s="5"/>
      <c r="S727" s="5"/>
      <c r="T727" s="7"/>
    </row>
    <row r="728" spans="1:20" ht="14.25">
      <c r="A728" s="7"/>
      <c r="B728" s="7"/>
      <c r="C728" s="7"/>
      <c r="D728" s="7"/>
      <c r="P728" s="21"/>
      <c r="R728" s="5"/>
      <c r="S728" s="5"/>
      <c r="T728" s="7"/>
    </row>
    <row r="729" spans="1:20" ht="14.25">
      <c r="A729" s="7"/>
      <c r="B729" s="7"/>
      <c r="C729" s="7"/>
      <c r="D729" s="7"/>
      <c r="P729" s="21"/>
      <c r="R729" s="5"/>
      <c r="S729" s="5"/>
      <c r="T729" s="7"/>
    </row>
    <row r="730" spans="1:20" ht="14.25">
      <c r="A730" s="7"/>
      <c r="B730" s="7"/>
      <c r="C730" s="7"/>
      <c r="D730" s="7"/>
      <c r="P730" s="21"/>
      <c r="R730" s="5"/>
      <c r="S730" s="5"/>
      <c r="T730" s="7"/>
    </row>
    <row r="731" spans="1:20" ht="14.25">
      <c r="A731" s="7"/>
      <c r="B731" s="7"/>
      <c r="C731" s="7"/>
      <c r="D731" s="7"/>
      <c r="P731" s="21"/>
      <c r="R731" s="5"/>
      <c r="S731" s="5"/>
      <c r="T731" s="7"/>
    </row>
    <row r="732" spans="1:20" ht="14.25">
      <c r="A732" s="7"/>
      <c r="B732" s="7"/>
      <c r="C732" s="7"/>
      <c r="D732" s="7"/>
      <c r="P732" s="21"/>
      <c r="R732" s="5"/>
      <c r="S732" s="5"/>
      <c r="T732" s="7"/>
    </row>
    <row r="733" spans="1:20" ht="14.25">
      <c r="A733" s="7"/>
      <c r="B733" s="7"/>
      <c r="C733" s="7"/>
      <c r="D733" s="7"/>
      <c r="P733" s="21"/>
      <c r="R733" s="5"/>
      <c r="S733" s="5"/>
      <c r="T733" s="7"/>
    </row>
    <row r="734" spans="1:20" ht="14.25">
      <c r="A734" s="7"/>
      <c r="B734" s="7"/>
      <c r="C734" s="7"/>
      <c r="D734" s="7"/>
      <c r="P734" s="21"/>
      <c r="R734" s="5"/>
      <c r="S734" s="5"/>
      <c r="T734" s="7"/>
    </row>
    <row r="735" spans="1:20" ht="14.25">
      <c r="A735" s="7"/>
      <c r="B735" s="7"/>
      <c r="C735" s="7"/>
      <c r="D735" s="7"/>
      <c r="P735" s="21"/>
      <c r="R735" s="5"/>
      <c r="S735" s="5"/>
      <c r="T735" s="7"/>
    </row>
    <row r="736" spans="1:20" ht="14.25">
      <c r="A736" s="7"/>
      <c r="B736" s="7"/>
      <c r="C736" s="7"/>
      <c r="D736" s="7"/>
      <c r="P736" s="21"/>
      <c r="R736" s="5"/>
      <c r="S736" s="5"/>
      <c r="T736" s="7"/>
    </row>
    <row r="737" spans="1:20" ht="14.25">
      <c r="A737" s="7"/>
      <c r="B737" s="7"/>
      <c r="C737" s="7"/>
      <c r="D737" s="7"/>
      <c r="P737" s="21"/>
      <c r="R737" s="5"/>
      <c r="S737" s="5"/>
      <c r="T737" s="7"/>
    </row>
    <row r="738" spans="1:20" ht="14.25">
      <c r="A738" s="7"/>
      <c r="B738" s="7"/>
      <c r="C738" s="7"/>
      <c r="D738" s="7"/>
      <c r="P738" s="21"/>
      <c r="R738" s="5"/>
      <c r="S738" s="5"/>
      <c r="T738" s="7"/>
    </row>
    <row r="739" spans="1:20" ht="14.25">
      <c r="A739" s="7"/>
      <c r="B739" s="7"/>
      <c r="C739" s="7"/>
      <c r="D739" s="7"/>
      <c r="P739" s="21"/>
      <c r="R739" s="5"/>
      <c r="S739" s="5"/>
      <c r="T739" s="7"/>
    </row>
    <row r="740" spans="1:20" ht="14.25">
      <c r="A740" s="7"/>
      <c r="B740" s="7"/>
      <c r="C740" s="7"/>
      <c r="D740" s="7"/>
      <c r="P740" s="21"/>
      <c r="R740" s="5"/>
      <c r="S740" s="5"/>
      <c r="T740" s="7"/>
    </row>
    <row r="741" spans="1:20" ht="14.25">
      <c r="A741" s="7"/>
      <c r="B741" s="7"/>
      <c r="C741" s="7"/>
      <c r="D741" s="7"/>
      <c r="P741" s="21"/>
      <c r="R741" s="5"/>
      <c r="S741" s="5"/>
      <c r="T741" s="7"/>
    </row>
    <row r="742" spans="1:20" ht="14.25">
      <c r="A742" s="7"/>
      <c r="B742" s="7"/>
      <c r="C742" s="7"/>
      <c r="D742" s="7"/>
      <c r="P742" s="21"/>
      <c r="R742" s="5"/>
      <c r="S742" s="5"/>
      <c r="T742" s="7"/>
    </row>
    <row r="743" spans="1:20" ht="14.25">
      <c r="A743" s="7"/>
      <c r="B743" s="7"/>
      <c r="C743" s="7"/>
      <c r="D743" s="7"/>
      <c r="P743" s="21"/>
      <c r="R743" s="5"/>
      <c r="S743" s="5"/>
      <c r="T743" s="7"/>
    </row>
    <row r="744" spans="1:20" ht="14.25">
      <c r="A744" s="7"/>
      <c r="B744" s="7"/>
      <c r="C744" s="7"/>
      <c r="D744" s="7"/>
      <c r="P744" s="21"/>
      <c r="R744" s="5"/>
      <c r="S744" s="5"/>
      <c r="T744" s="7"/>
    </row>
    <row r="745" spans="1:20" ht="14.25">
      <c r="A745" s="7"/>
      <c r="B745" s="7"/>
      <c r="C745" s="7"/>
      <c r="D745" s="7"/>
      <c r="P745" s="21"/>
      <c r="R745" s="5"/>
      <c r="S745" s="5"/>
      <c r="T745" s="7"/>
    </row>
    <row r="746" spans="1:20" ht="14.25">
      <c r="A746" s="7"/>
      <c r="B746" s="7"/>
      <c r="C746" s="7"/>
      <c r="D746" s="7"/>
      <c r="P746" s="21"/>
      <c r="R746" s="5"/>
      <c r="S746" s="5"/>
      <c r="T746" s="7"/>
    </row>
    <row r="747" spans="1:20" ht="14.25">
      <c r="A747" s="7"/>
      <c r="B747" s="7"/>
      <c r="C747" s="7"/>
      <c r="D747" s="7"/>
      <c r="P747" s="21"/>
      <c r="R747" s="5"/>
      <c r="S747" s="5"/>
      <c r="T747" s="7"/>
    </row>
    <row r="748" spans="1:20" ht="14.25">
      <c r="A748" s="7"/>
      <c r="B748" s="7"/>
      <c r="C748" s="7"/>
      <c r="D748" s="7"/>
      <c r="P748" s="21"/>
      <c r="R748" s="5"/>
      <c r="S748" s="5"/>
      <c r="T748" s="7"/>
    </row>
    <row r="749" spans="1:20" ht="14.25">
      <c r="A749" s="7"/>
      <c r="B749" s="7"/>
      <c r="C749" s="7"/>
      <c r="D749" s="7"/>
      <c r="P749" s="21"/>
      <c r="R749" s="5"/>
      <c r="S749" s="5"/>
      <c r="T749" s="7"/>
    </row>
    <row r="750" spans="1:20" ht="14.25">
      <c r="A750" s="7"/>
      <c r="B750" s="7"/>
      <c r="C750" s="7"/>
      <c r="D750" s="7"/>
      <c r="P750" s="21"/>
      <c r="R750" s="5"/>
      <c r="S750" s="5"/>
      <c r="T750" s="7"/>
    </row>
    <row r="751" spans="1:20" ht="14.25">
      <c r="A751" s="7"/>
      <c r="B751" s="7"/>
      <c r="C751" s="7"/>
      <c r="D751" s="7"/>
      <c r="P751" s="21"/>
      <c r="R751" s="5"/>
      <c r="S751" s="5"/>
      <c r="T751" s="7"/>
    </row>
    <row r="752" spans="1:20" ht="14.25">
      <c r="A752" s="7"/>
      <c r="B752" s="7"/>
      <c r="C752" s="7"/>
      <c r="D752" s="7"/>
      <c r="P752" s="21"/>
      <c r="R752" s="5"/>
      <c r="S752" s="5"/>
      <c r="T752" s="7"/>
    </row>
    <row r="753" spans="1:20" ht="14.25">
      <c r="A753" s="7"/>
      <c r="B753" s="7"/>
      <c r="C753" s="7"/>
      <c r="D753" s="7"/>
      <c r="P753" s="21"/>
      <c r="R753" s="5"/>
      <c r="S753" s="5"/>
      <c r="T753" s="7"/>
    </row>
    <row r="754" spans="1:20" ht="14.25">
      <c r="A754" s="7"/>
      <c r="B754" s="7"/>
      <c r="C754" s="7"/>
      <c r="D754" s="7"/>
      <c r="P754" s="21"/>
      <c r="R754" s="5"/>
      <c r="S754" s="5"/>
      <c r="T754" s="7"/>
    </row>
    <row r="755" spans="1:20" ht="14.25">
      <c r="A755" s="7"/>
      <c r="B755" s="7"/>
      <c r="C755" s="7"/>
      <c r="D755" s="7"/>
      <c r="P755" s="21"/>
      <c r="R755" s="5"/>
      <c r="S755" s="5"/>
      <c r="T755" s="7"/>
    </row>
    <row r="756" spans="1:20" ht="14.25">
      <c r="A756" s="7"/>
      <c r="B756" s="7"/>
      <c r="C756" s="7"/>
      <c r="D756" s="7"/>
      <c r="P756" s="21"/>
      <c r="R756" s="5"/>
      <c r="S756" s="5"/>
      <c r="T756" s="7"/>
    </row>
    <row r="757" spans="1:20" ht="14.25">
      <c r="A757" s="7"/>
      <c r="B757" s="7"/>
      <c r="C757" s="7"/>
      <c r="D757" s="7"/>
      <c r="P757" s="21"/>
      <c r="R757" s="5"/>
      <c r="S757" s="5"/>
      <c r="T757" s="7"/>
    </row>
    <row r="758" spans="1:20" ht="14.25">
      <c r="A758" s="7"/>
      <c r="B758" s="7"/>
      <c r="C758" s="7"/>
      <c r="D758" s="7"/>
      <c r="P758" s="21"/>
      <c r="R758" s="5"/>
      <c r="S758" s="5"/>
      <c r="T758" s="7"/>
    </row>
    <row r="759" spans="1:20" ht="14.25">
      <c r="A759" s="7"/>
      <c r="B759" s="7"/>
      <c r="C759" s="7"/>
      <c r="D759" s="7"/>
      <c r="P759" s="21"/>
      <c r="R759" s="5"/>
      <c r="S759" s="5"/>
      <c r="T759" s="7"/>
    </row>
    <row r="760" spans="1:20" ht="14.25">
      <c r="A760" s="7"/>
      <c r="B760" s="7"/>
      <c r="C760" s="7"/>
      <c r="D760" s="7"/>
      <c r="P760" s="21"/>
      <c r="R760" s="5"/>
      <c r="S760" s="5"/>
      <c r="T760" s="7"/>
    </row>
    <row r="761" spans="1:20" ht="14.25">
      <c r="A761" s="7"/>
      <c r="B761" s="7"/>
      <c r="C761" s="7"/>
      <c r="D761" s="7"/>
      <c r="P761" s="21"/>
      <c r="R761" s="5"/>
      <c r="S761" s="5"/>
      <c r="T761" s="7"/>
    </row>
    <row r="762" spans="1:20" ht="14.25">
      <c r="A762" s="7"/>
      <c r="B762" s="7"/>
      <c r="C762" s="7"/>
      <c r="D762" s="7"/>
      <c r="P762" s="21"/>
      <c r="R762" s="5"/>
      <c r="S762" s="5"/>
      <c r="T762" s="7"/>
    </row>
    <row r="763" spans="1:20" ht="14.25">
      <c r="A763" s="7"/>
      <c r="B763" s="7"/>
      <c r="C763" s="7"/>
      <c r="D763" s="7"/>
      <c r="P763" s="21"/>
      <c r="R763" s="5"/>
      <c r="S763" s="5"/>
      <c r="T763" s="7"/>
    </row>
    <row r="764" spans="1:20" ht="14.25">
      <c r="A764" s="7"/>
      <c r="B764" s="7"/>
      <c r="C764" s="7"/>
      <c r="D764" s="7"/>
      <c r="P764" s="21"/>
      <c r="R764" s="5"/>
      <c r="S764" s="5"/>
      <c r="T764" s="7"/>
    </row>
    <row r="765" spans="1:20" ht="14.25">
      <c r="A765" s="7"/>
      <c r="B765" s="7"/>
      <c r="C765" s="7"/>
      <c r="D765" s="7"/>
      <c r="P765" s="21"/>
      <c r="R765" s="5"/>
      <c r="S765" s="5"/>
      <c r="T765" s="7"/>
    </row>
    <row r="766" spans="1:20" ht="14.25">
      <c r="A766" s="7"/>
      <c r="B766" s="7"/>
      <c r="C766" s="7"/>
      <c r="D766" s="7"/>
      <c r="P766" s="21"/>
      <c r="R766" s="5"/>
      <c r="S766" s="5"/>
      <c r="T766" s="7"/>
    </row>
    <row r="767" spans="1:20" ht="14.25">
      <c r="A767" s="7"/>
      <c r="B767" s="7"/>
      <c r="C767" s="7"/>
      <c r="D767" s="7"/>
      <c r="P767" s="21"/>
      <c r="R767" s="5"/>
      <c r="S767" s="5"/>
      <c r="T767" s="7"/>
    </row>
    <row r="768" spans="1:20" ht="14.25">
      <c r="A768" s="7"/>
      <c r="B768" s="7"/>
      <c r="C768" s="7"/>
      <c r="D768" s="7"/>
      <c r="P768" s="21"/>
      <c r="R768" s="5"/>
      <c r="S768" s="5"/>
      <c r="T768" s="7"/>
    </row>
    <row r="769" spans="1:20" ht="14.25">
      <c r="A769" s="7"/>
      <c r="B769" s="7"/>
      <c r="C769" s="7"/>
      <c r="D769" s="7"/>
      <c r="P769" s="21"/>
      <c r="R769" s="5"/>
      <c r="S769" s="5"/>
      <c r="T769" s="7"/>
    </row>
    <row r="770" spans="1:20" ht="14.25">
      <c r="A770" s="7"/>
      <c r="B770" s="7"/>
      <c r="C770" s="7"/>
      <c r="D770" s="7"/>
      <c r="P770" s="21"/>
      <c r="R770" s="5"/>
      <c r="S770" s="5"/>
      <c r="T770" s="7"/>
    </row>
    <row r="771" spans="1:20" ht="14.25">
      <c r="A771" s="7"/>
      <c r="B771" s="7"/>
      <c r="C771" s="7"/>
      <c r="D771" s="7"/>
      <c r="P771" s="21"/>
      <c r="R771" s="5"/>
      <c r="S771" s="5"/>
      <c r="T771" s="7"/>
    </row>
    <row r="772" spans="1:20" ht="14.25">
      <c r="A772" s="7"/>
      <c r="B772" s="7"/>
      <c r="C772" s="7"/>
      <c r="D772" s="7"/>
      <c r="P772" s="21"/>
      <c r="R772" s="5"/>
      <c r="S772" s="5"/>
      <c r="T772" s="7"/>
    </row>
    <row r="773" spans="1:20" ht="14.25">
      <c r="A773" s="7"/>
      <c r="B773" s="7"/>
      <c r="C773" s="7"/>
      <c r="D773" s="7"/>
      <c r="P773" s="21"/>
      <c r="R773" s="5"/>
      <c r="S773" s="5"/>
      <c r="T773" s="7"/>
    </row>
    <row r="774" spans="1:20" ht="14.25">
      <c r="A774" s="7"/>
      <c r="B774" s="7"/>
      <c r="C774" s="7"/>
      <c r="D774" s="7"/>
      <c r="P774" s="21"/>
      <c r="R774" s="5"/>
      <c r="S774" s="5"/>
      <c r="T774" s="7"/>
    </row>
    <row r="775" spans="1:20" ht="14.25">
      <c r="A775" s="7"/>
      <c r="B775" s="7"/>
      <c r="C775" s="7"/>
      <c r="D775" s="7"/>
      <c r="P775" s="21"/>
      <c r="R775" s="5"/>
      <c r="S775" s="5"/>
      <c r="T775" s="7"/>
    </row>
    <row r="776" spans="1:20" ht="14.25">
      <c r="A776" s="7"/>
      <c r="B776" s="7"/>
      <c r="C776" s="7"/>
      <c r="D776" s="7"/>
      <c r="P776" s="21"/>
      <c r="R776" s="5"/>
      <c r="S776" s="5"/>
      <c r="T776" s="7"/>
    </row>
    <row r="777" spans="1:20" ht="14.25">
      <c r="A777" s="7"/>
      <c r="B777" s="7"/>
      <c r="C777" s="7"/>
      <c r="D777" s="7"/>
      <c r="P777" s="21"/>
      <c r="R777" s="5"/>
      <c r="S777" s="5"/>
      <c r="T777" s="7"/>
    </row>
    <row r="778" spans="1:20" ht="14.25">
      <c r="A778" s="7"/>
      <c r="B778" s="7"/>
      <c r="C778" s="7"/>
      <c r="D778" s="7"/>
      <c r="P778" s="21"/>
      <c r="R778" s="5"/>
      <c r="S778" s="5"/>
      <c r="T778" s="7"/>
    </row>
    <row r="779" spans="1:20" ht="14.25">
      <c r="A779" s="7"/>
      <c r="B779" s="7"/>
      <c r="C779" s="7"/>
      <c r="D779" s="7"/>
      <c r="P779" s="21"/>
      <c r="R779" s="5"/>
      <c r="S779" s="5"/>
      <c r="T779" s="7"/>
    </row>
    <row r="780" spans="1:20" ht="14.25">
      <c r="A780" s="7"/>
      <c r="B780" s="7"/>
      <c r="C780" s="7"/>
      <c r="D780" s="7"/>
      <c r="P780" s="21"/>
      <c r="R780" s="5"/>
      <c r="S780" s="5"/>
      <c r="T780" s="7"/>
    </row>
    <row r="781" spans="1:20" ht="14.25">
      <c r="A781" s="7"/>
      <c r="B781" s="7"/>
      <c r="C781" s="7"/>
      <c r="D781" s="7"/>
      <c r="P781" s="21"/>
      <c r="R781" s="5"/>
      <c r="S781" s="5"/>
      <c r="T781" s="7"/>
    </row>
    <row r="782" spans="1:20" ht="14.25">
      <c r="A782" s="7"/>
      <c r="B782" s="7"/>
      <c r="C782" s="7"/>
      <c r="D782" s="7"/>
      <c r="P782" s="21"/>
      <c r="R782" s="5"/>
      <c r="S782" s="5"/>
      <c r="T782" s="7"/>
    </row>
    <row r="783" spans="1:20" ht="14.25">
      <c r="A783" s="7"/>
      <c r="B783" s="7"/>
      <c r="C783" s="7"/>
      <c r="D783" s="7"/>
      <c r="P783" s="21"/>
      <c r="R783" s="5"/>
      <c r="S783" s="5"/>
      <c r="T783" s="7"/>
    </row>
    <row r="784" spans="1:20" ht="14.25">
      <c r="A784" s="7"/>
      <c r="B784" s="7"/>
      <c r="C784" s="7"/>
      <c r="D784" s="7"/>
      <c r="P784" s="21"/>
      <c r="R784" s="5"/>
      <c r="S784" s="5"/>
      <c r="T784" s="7"/>
    </row>
    <row r="785" spans="1:20" ht="14.25">
      <c r="A785" s="7"/>
      <c r="B785" s="7"/>
      <c r="C785" s="7"/>
      <c r="D785" s="7"/>
      <c r="P785" s="21"/>
      <c r="R785" s="5"/>
      <c r="S785" s="5"/>
      <c r="T785" s="7"/>
    </row>
    <row r="786" spans="1:20" ht="14.25">
      <c r="A786" s="7"/>
      <c r="B786" s="7"/>
      <c r="C786" s="7"/>
      <c r="D786" s="7"/>
      <c r="P786" s="21"/>
      <c r="R786" s="5"/>
      <c r="S786" s="5"/>
      <c r="T786" s="7"/>
    </row>
    <row r="787" spans="1:20" ht="14.25">
      <c r="A787" s="7"/>
      <c r="B787" s="7"/>
      <c r="C787" s="7"/>
      <c r="D787" s="7"/>
      <c r="P787" s="21"/>
      <c r="R787" s="5"/>
      <c r="S787" s="5"/>
      <c r="T787" s="7"/>
    </row>
    <row r="788" spans="1:20" ht="14.25">
      <c r="A788" s="7"/>
      <c r="B788" s="7"/>
      <c r="C788" s="7"/>
      <c r="D788" s="7"/>
      <c r="P788" s="21"/>
      <c r="R788" s="5"/>
      <c r="S788" s="5"/>
      <c r="T788" s="7"/>
    </row>
    <row r="789" spans="1:20" ht="14.25">
      <c r="A789" s="7"/>
      <c r="B789" s="7"/>
      <c r="C789" s="7"/>
      <c r="D789" s="7"/>
      <c r="P789" s="21"/>
      <c r="R789" s="5"/>
      <c r="S789" s="5"/>
      <c r="T789" s="7"/>
    </row>
    <row r="790" spans="1:20" ht="14.25">
      <c r="A790" s="7"/>
      <c r="B790" s="7"/>
      <c r="C790" s="7"/>
      <c r="D790" s="7"/>
      <c r="P790" s="21"/>
      <c r="R790" s="5"/>
      <c r="S790" s="5"/>
      <c r="T790" s="7"/>
    </row>
    <row r="791" spans="1:20" ht="14.25">
      <c r="A791" s="7"/>
      <c r="B791" s="7"/>
      <c r="C791" s="7"/>
      <c r="D791" s="7"/>
      <c r="P791" s="21"/>
      <c r="R791" s="5"/>
      <c r="S791" s="5"/>
      <c r="T791" s="7"/>
    </row>
    <row r="792" spans="1:20" ht="14.25">
      <c r="A792" s="7"/>
      <c r="B792" s="7"/>
      <c r="C792" s="7"/>
      <c r="D792" s="7"/>
      <c r="P792" s="21"/>
      <c r="R792" s="5"/>
      <c r="S792" s="5"/>
      <c r="T792" s="7"/>
    </row>
    <row r="793" spans="1:20" ht="14.25">
      <c r="A793" s="7"/>
      <c r="B793" s="7"/>
      <c r="C793" s="7"/>
      <c r="D793" s="7"/>
      <c r="P793" s="21"/>
      <c r="R793" s="5"/>
      <c r="S793" s="5"/>
      <c r="T793" s="7"/>
    </row>
    <row r="794" spans="1:20" ht="14.25">
      <c r="A794" s="7"/>
      <c r="B794" s="7"/>
      <c r="C794" s="7"/>
      <c r="D794" s="7"/>
      <c r="P794" s="21"/>
      <c r="R794" s="5"/>
      <c r="S794" s="5"/>
      <c r="T794" s="7"/>
    </row>
    <row r="795" spans="1:20" ht="14.25">
      <c r="A795" s="7"/>
      <c r="B795" s="7"/>
      <c r="C795" s="7"/>
      <c r="D795" s="7"/>
      <c r="P795" s="21"/>
      <c r="R795" s="5"/>
      <c r="S795" s="5"/>
      <c r="T795" s="7"/>
    </row>
    <row r="796" spans="1:20" ht="14.25">
      <c r="A796" s="7"/>
      <c r="B796" s="7"/>
      <c r="C796" s="7"/>
      <c r="D796" s="7"/>
      <c r="P796" s="21"/>
      <c r="R796" s="5"/>
      <c r="S796" s="5"/>
      <c r="T796" s="7"/>
    </row>
    <row r="797" spans="1:20" ht="14.25">
      <c r="A797" s="7"/>
      <c r="B797" s="7"/>
      <c r="C797" s="7"/>
      <c r="D797" s="7"/>
      <c r="P797" s="21"/>
      <c r="R797" s="5"/>
      <c r="S797" s="5"/>
      <c r="T797" s="7"/>
    </row>
    <row r="798" spans="1:20" ht="14.25">
      <c r="A798" s="7"/>
      <c r="B798" s="7"/>
      <c r="C798" s="7"/>
      <c r="D798" s="7"/>
      <c r="P798" s="21"/>
      <c r="R798" s="5"/>
      <c r="S798" s="5"/>
      <c r="T798" s="7"/>
    </row>
    <row r="799" spans="1:20" ht="14.25">
      <c r="A799" s="7"/>
      <c r="B799" s="7"/>
      <c r="C799" s="7"/>
      <c r="D799" s="7"/>
      <c r="P799" s="21"/>
      <c r="R799" s="5"/>
      <c r="S799" s="5"/>
      <c r="T799" s="7"/>
    </row>
    <row r="800" spans="1:20" ht="14.25">
      <c r="A800" s="7"/>
      <c r="B800" s="7"/>
      <c r="C800" s="7"/>
      <c r="D800" s="7"/>
      <c r="P800" s="21"/>
      <c r="R800" s="5"/>
      <c r="S800" s="5"/>
      <c r="T800" s="7"/>
    </row>
    <row r="801" spans="1:20" ht="14.25">
      <c r="A801" s="7"/>
      <c r="B801" s="7"/>
      <c r="C801" s="7"/>
      <c r="D801" s="7"/>
      <c r="P801" s="21"/>
      <c r="R801" s="5"/>
      <c r="S801" s="5"/>
      <c r="T801" s="7"/>
    </row>
    <row r="802" spans="1:20" ht="14.25">
      <c r="A802" s="7"/>
      <c r="B802" s="7"/>
      <c r="C802" s="7"/>
      <c r="D802" s="7"/>
      <c r="P802" s="21"/>
      <c r="R802" s="5"/>
      <c r="S802" s="5"/>
      <c r="T802" s="7"/>
    </row>
    <row r="803" spans="1:20" ht="14.25">
      <c r="A803" s="7"/>
      <c r="B803" s="7"/>
      <c r="C803" s="7"/>
      <c r="D803" s="7"/>
      <c r="P803" s="21"/>
      <c r="R803" s="5"/>
      <c r="S803" s="5"/>
      <c r="T803" s="7"/>
    </row>
    <row r="804" spans="1:20" ht="14.25">
      <c r="A804" s="7"/>
      <c r="B804" s="7"/>
      <c r="C804" s="7"/>
      <c r="D804" s="7"/>
      <c r="P804" s="21"/>
      <c r="R804" s="5"/>
      <c r="S804" s="5"/>
      <c r="T804" s="7"/>
    </row>
    <row r="805" spans="1:20" ht="14.25">
      <c r="A805" s="7"/>
      <c r="B805" s="7"/>
      <c r="C805" s="7"/>
      <c r="D805" s="7"/>
      <c r="P805" s="21"/>
      <c r="R805" s="5"/>
      <c r="S805" s="5"/>
      <c r="T805" s="7"/>
    </row>
    <row r="806" spans="1:20" ht="14.25">
      <c r="A806" s="7"/>
      <c r="B806" s="7"/>
      <c r="C806" s="7"/>
      <c r="D806" s="7"/>
      <c r="P806" s="21"/>
      <c r="R806" s="5"/>
      <c r="S806" s="5"/>
      <c r="T806" s="7"/>
    </row>
    <row r="807" spans="1:20" ht="14.25">
      <c r="A807" s="7"/>
      <c r="B807" s="7"/>
      <c r="C807" s="7"/>
      <c r="D807" s="7"/>
      <c r="P807" s="21"/>
      <c r="R807" s="5"/>
      <c r="S807" s="5"/>
      <c r="T807" s="7"/>
    </row>
    <row r="808" spans="1:20" ht="14.25">
      <c r="A808" s="7"/>
      <c r="B808" s="7"/>
      <c r="C808" s="7"/>
      <c r="D808" s="7"/>
      <c r="P808" s="21"/>
      <c r="R808" s="5"/>
      <c r="S808" s="5"/>
      <c r="T808" s="7"/>
    </row>
    <row r="809" spans="1:20" ht="14.25">
      <c r="A809" s="7"/>
      <c r="B809" s="7"/>
      <c r="C809" s="7"/>
      <c r="D809" s="7"/>
      <c r="P809" s="21"/>
      <c r="R809" s="5"/>
      <c r="S809" s="5"/>
      <c r="T809" s="7"/>
    </row>
    <row r="810" spans="1:20" ht="14.25">
      <c r="A810" s="7"/>
      <c r="B810" s="7"/>
      <c r="C810" s="7"/>
      <c r="D810" s="7"/>
      <c r="P810" s="21"/>
      <c r="R810" s="5"/>
      <c r="S810" s="5"/>
      <c r="T810" s="7"/>
    </row>
    <row r="811" spans="1:20" ht="14.25">
      <c r="A811" s="7"/>
      <c r="B811" s="7"/>
      <c r="C811" s="7"/>
      <c r="D811" s="7"/>
      <c r="P811" s="21"/>
      <c r="R811" s="5"/>
      <c r="S811" s="5"/>
      <c r="T811" s="7"/>
    </row>
    <row r="812" spans="1:20" ht="14.25">
      <c r="A812" s="7"/>
      <c r="B812" s="7"/>
      <c r="C812" s="7"/>
      <c r="D812" s="7"/>
      <c r="P812" s="21"/>
      <c r="R812" s="5"/>
      <c r="S812" s="5"/>
      <c r="T812" s="7"/>
    </row>
    <row r="813" spans="1:20" ht="14.25">
      <c r="A813" s="7"/>
      <c r="B813" s="7"/>
      <c r="C813" s="7"/>
      <c r="D813" s="7"/>
      <c r="P813" s="21"/>
      <c r="R813" s="5"/>
      <c r="S813" s="5"/>
      <c r="T813" s="7"/>
    </row>
    <row r="814" spans="1:20" ht="14.25">
      <c r="A814" s="7"/>
      <c r="B814" s="7"/>
      <c r="C814" s="7"/>
      <c r="D814" s="7"/>
      <c r="P814" s="21"/>
      <c r="R814" s="5"/>
      <c r="S814" s="5"/>
      <c r="T814" s="7"/>
    </row>
    <row r="815" spans="1:20" ht="14.25">
      <c r="A815" s="7"/>
      <c r="B815" s="7"/>
      <c r="C815" s="7"/>
      <c r="D815" s="7"/>
      <c r="P815" s="21"/>
      <c r="R815" s="5"/>
      <c r="S815" s="5"/>
      <c r="T815" s="7"/>
    </row>
    <row r="816" spans="1:20" ht="14.25">
      <c r="A816" s="7"/>
      <c r="B816" s="7"/>
      <c r="C816" s="7"/>
      <c r="D816" s="7"/>
      <c r="P816" s="21"/>
      <c r="R816" s="5"/>
      <c r="S816" s="5"/>
      <c r="T816" s="7"/>
    </row>
    <row r="817" spans="1:20" ht="14.25">
      <c r="A817" s="7"/>
      <c r="B817" s="7"/>
      <c r="C817" s="7"/>
      <c r="D817" s="7"/>
      <c r="P817" s="21"/>
      <c r="R817" s="5"/>
      <c r="S817" s="5"/>
      <c r="T817" s="7"/>
    </row>
    <row r="818" spans="1:20" ht="14.25">
      <c r="A818" s="7"/>
      <c r="B818" s="7"/>
      <c r="C818" s="7"/>
      <c r="D818" s="7"/>
      <c r="P818" s="21"/>
      <c r="R818" s="5"/>
      <c r="S818" s="5"/>
      <c r="T818" s="7"/>
    </row>
    <row r="819" spans="1:20" ht="14.25">
      <c r="A819" s="7"/>
      <c r="B819" s="7"/>
      <c r="C819" s="7"/>
      <c r="D819" s="7"/>
      <c r="P819" s="21"/>
      <c r="R819" s="5"/>
      <c r="S819" s="5"/>
      <c r="T819" s="7"/>
    </row>
    <row r="820" spans="1:20" ht="14.25">
      <c r="A820" s="7"/>
      <c r="B820" s="7"/>
      <c r="C820" s="7"/>
      <c r="D820" s="7"/>
      <c r="P820" s="21"/>
      <c r="R820" s="5"/>
      <c r="S820" s="5"/>
      <c r="T820" s="7"/>
    </row>
    <row r="821" spans="1:20" ht="14.25">
      <c r="A821" s="7"/>
      <c r="B821" s="7"/>
      <c r="C821" s="7"/>
      <c r="D821" s="7"/>
      <c r="P821" s="21"/>
      <c r="R821" s="5"/>
      <c r="S821" s="5"/>
      <c r="T821" s="7"/>
    </row>
    <row r="822" spans="1:20" ht="14.25">
      <c r="A822" s="7"/>
      <c r="B822" s="7"/>
      <c r="C822" s="7"/>
      <c r="D822" s="7"/>
      <c r="P822" s="21"/>
      <c r="R822" s="5"/>
      <c r="S822" s="5"/>
      <c r="T822" s="7"/>
    </row>
    <row r="823" spans="1:20" ht="14.25">
      <c r="A823" s="7"/>
      <c r="B823" s="7"/>
      <c r="C823" s="7"/>
      <c r="D823" s="7"/>
      <c r="P823" s="21"/>
      <c r="R823" s="5"/>
      <c r="S823" s="5"/>
      <c r="T823" s="7"/>
    </row>
    <row r="824" spans="1:20" ht="14.25">
      <c r="A824" s="7"/>
      <c r="B824" s="7"/>
      <c r="C824" s="7"/>
      <c r="D824" s="7"/>
      <c r="P824" s="21"/>
      <c r="R824" s="5"/>
      <c r="S824" s="5"/>
      <c r="T824" s="7"/>
    </row>
    <row r="825" spans="1:20" ht="14.25">
      <c r="A825" s="7"/>
      <c r="B825" s="7"/>
      <c r="C825" s="7"/>
      <c r="D825" s="7"/>
      <c r="P825" s="21"/>
      <c r="R825" s="5"/>
      <c r="S825" s="5"/>
      <c r="T825" s="7"/>
    </row>
    <row r="826" spans="1:20" ht="14.25">
      <c r="A826" s="7"/>
      <c r="B826" s="7"/>
      <c r="C826" s="7"/>
      <c r="D826" s="7"/>
      <c r="P826" s="21"/>
      <c r="R826" s="5"/>
      <c r="S826" s="5"/>
      <c r="T826" s="7"/>
    </row>
    <row r="827" spans="1:20" ht="14.25">
      <c r="A827" s="7"/>
      <c r="B827" s="7"/>
      <c r="C827" s="7"/>
      <c r="D827" s="7"/>
      <c r="P827" s="21"/>
      <c r="R827" s="5"/>
      <c r="S827" s="5"/>
      <c r="T827" s="7"/>
    </row>
    <row r="828" spans="1:20" ht="14.25">
      <c r="A828" s="7"/>
      <c r="B828" s="7"/>
      <c r="C828" s="7"/>
      <c r="D828" s="7"/>
      <c r="P828" s="21"/>
      <c r="R828" s="5"/>
      <c r="S828" s="5"/>
      <c r="T828" s="7"/>
    </row>
    <row r="829" spans="1:20" ht="14.25">
      <c r="A829" s="7"/>
      <c r="B829" s="7"/>
      <c r="C829" s="7"/>
      <c r="D829" s="7"/>
      <c r="P829" s="21"/>
      <c r="R829" s="5"/>
      <c r="S829" s="5"/>
      <c r="T829" s="7"/>
    </row>
    <row r="830" spans="1:20" ht="14.25">
      <c r="A830" s="7"/>
      <c r="B830" s="7"/>
      <c r="C830" s="7"/>
      <c r="D830" s="7"/>
      <c r="P830" s="21"/>
      <c r="R830" s="5"/>
      <c r="S830" s="5"/>
      <c r="T830" s="7"/>
    </row>
    <row r="831" spans="1:20" ht="14.25">
      <c r="A831" s="7"/>
      <c r="B831" s="7"/>
      <c r="C831" s="7"/>
      <c r="D831" s="7"/>
      <c r="P831" s="21"/>
      <c r="R831" s="5"/>
      <c r="S831" s="5"/>
      <c r="T831" s="7"/>
    </row>
    <row r="832" spans="1:20" ht="14.25">
      <c r="A832" s="7"/>
      <c r="B832" s="7"/>
      <c r="C832" s="7"/>
      <c r="D832" s="7"/>
      <c r="P832" s="21"/>
      <c r="R832" s="5"/>
      <c r="S832" s="5"/>
      <c r="T832" s="7"/>
    </row>
    <row r="833" spans="1:20" ht="14.25">
      <c r="A833" s="7"/>
      <c r="B833" s="7"/>
      <c r="C833" s="7"/>
      <c r="D833" s="7"/>
      <c r="P833" s="21"/>
      <c r="R833" s="5"/>
      <c r="S833" s="5"/>
      <c r="T833" s="7"/>
    </row>
    <row r="834" spans="1:20" ht="14.25">
      <c r="A834" s="7"/>
      <c r="B834" s="7"/>
      <c r="C834" s="7"/>
      <c r="D834" s="7"/>
      <c r="P834" s="21"/>
      <c r="R834" s="5"/>
      <c r="S834" s="5"/>
      <c r="T834" s="7"/>
    </row>
    <row r="835" spans="1:20" ht="14.25">
      <c r="A835" s="7"/>
      <c r="B835" s="7"/>
      <c r="C835" s="7"/>
      <c r="D835" s="7"/>
      <c r="P835" s="21"/>
      <c r="R835" s="5"/>
      <c r="S835" s="5"/>
      <c r="T835" s="7"/>
    </row>
    <row r="836" spans="1:20" ht="14.25">
      <c r="A836" s="7"/>
      <c r="B836" s="7"/>
      <c r="C836" s="7"/>
      <c r="D836" s="7"/>
      <c r="P836" s="21"/>
      <c r="R836" s="5"/>
      <c r="S836" s="5"/>
      <c r="T836" s="7"/>
    </row>
    <row r="837" spans="1:20" ht="14.25">
      <c r="A837" s="7"/>
      <c r="B837" s="7"/>
      <c r="C837" s="7"/>
      <c r="D837" s="7"/>
      <c r="P837" s="21"/>
      <c r="R837" s="5"/>
      <c r="S837" s="5"/>
      <c r="T837" s="7"/>
    </row>
    <row r="838" spans="1:20" ht="14.25">
      <c r="A838" s="7"/>
      <c r="B838" s="7"/>
      <c r="C838" s="7"/>
      <c r="D838" s="7"/>
      <c r="P838" s="21"/>
      <c r="R838" s="5"/>
      <c r="S838" s="5"/>
      <c r="T838" s="7"/>
    </row>
    <row r="839" spans="1:20" ht="14.25">
      <c r="A839" s="7"/>
      <c r="B839" s="7"/>
      <c r="C839" s="7"/>
      <c r="D839" s="7"/>
      <c r="P839" s="21"/>
      <c r="R839" s="5"/>
      <c r="S839" s="5"/>
      <c r="T839" s="7"/>
    </row>
    <row r="840" spans="1:20" ht="14.25">
      <c r="A840" s="7"/>
      <c r="B840" s="7"/>
      <c r="C840" s="7"/>
      <c r="D840" s="7"/>
      <c r="P840" s="21"/>
      <c r="R840" s="5"/>
      <c r="S840" s="5"/>
      <c r="T840" s="7"/>
    </row>
    <row r="841" spans="1:20" ht="14.25">
      <c r="A841" s="7"/>
      <c r="B841" s="7"/>
      <c r="C841" s="7"/>
      <c r="D841" s="7"/>
      <c r="P841" s="21"/>
      <c r="R841" s="5"/>
      <c r="S841" s="5"/>
      <c r="T841" s="7"/>
    </row>
    <row r="842" spans="1:20" ht="14.25">
      <c r="A842" s="7"/>
      <c r="B842" s="7"/>
      <c r="C842" s="7"/>
      <c r="D842" s="7"/>
      <c r="P842" s="21"/>
      <c r="R842" s="5"/>
      <c r="S842" s="5"/>
      <c r="T842" s="7"/>
    </row>
    <row r="843" spans="1:20" ht="14.25">
      <c r="A843" s="7"/>
      <c r="B843" s="7"/>
      <c r="C843" s="7"/>
      <c r="D843" s="7"/>
      <c r="P843" s="21"/>
      <c r="R843" s="5"/>
      <c r="S843" s="5"/>
      <c r="T843" s="7"/>
    </row>
    <row r="844" spans="1:20" ht="14.25">
      <c r="A844" s="7"/>
      <c r="B844" s="7"/>
      <c r="C844" s="7"/>
      <c r="D844" s="7"/>
      <c r="P844" s="21"/>
      <c r="R844" s="5"/>
      <c r="S844" s="5"/>
      <c r="T844" s="7"/>
    </row>
    <row r="845" spans="1:20" ht="14.25">
      <c r="A845" s="7"/>
      <c r="B845" s="7"/>
      <c r="C845" s="7"/>
      <c r="D845" s="7"/>
      <c r="P845" s="21"/>
      <c r="R845" s="5"/>
      <c r="S845" s="5"/>
      <c r="T845" s="7"/>
    </row>
    <row r="846" spans="1:20" ht="14.25">
      <c r="A846" s="7"/>
      <c r="B846" s="7"/>
      <c r="C846" s="7"/>
      <c r="D846" s="7"/>
      <c r="P846" s="21"/>
      <c r="R846" s="5"/>
      <c r="S846" s="5"/>
      <c r="T846" s="7"/>
    </row>
    <row r="847" spans="1:20" ht="14.25">
      <c r="A847" s="7"/>
      <c r="B847" s="7"/>
      <c r="C847" s="7"/>
      <c r="D847" s="7"/>
      <c r="P847" s="21"/>
      <c r="R847" s="5"/>
      <c r="S847" s="5"/>
      <c r="T847" s="7"/>
    </row>
    <row r="848" spans="1:20" ht="14.25">
      <c r="A848" s="7"/>
      <c r="B848" s="7"/>
      <c r="C848" s="7"/>
      <c r="D848" s="7"/>
      <c r="P848" s="21"/>
      <c r="R848" s="5"/>
      <c r="S848" s="5"/>
      <c r="T848" s="7"/>
    </row>
    <row r="849" spans="1:20" ht="14.25">
      <c r="A849" s="7"/>
      <c r="B849" s="7"/>
      <c r="C849" s="7"/>
      <c r="D849" s="7"/>
      <c r="P849" s="21"/>
      <c r="R849" s="5"/>
      <c r="S849" s="5"/>
      <c r="T849" s="7"/>
    </row>
    <row r="850" spans="1:20" ht="14.25">
      <c r="A850" s="7"/>
      <c r="B850" s="7"/>
      <c r="C850" s="7"/>
      <c r="D850" s="7"/>
      <c r="P850" s="21"/>
      <c r="R850" s="5"/>
      <c r="S850" s="5"/>
      <c r="T850" s="7"/>
    </row>
    <row r="851" spans="1:20" ht="14.25">
      <c r="A851" s="7"/>
      <c r="B851" s="7"/>
      <c r="C851" s="7"/>
      <c r="D851" s="7"/>
      <c r="P851" s="21"/>
      <c r="R851" s="5"/>
      <c r="S851" s="5"/>
      <c r="T851" s="7"/>
    </row>
    <row r="852" spans="1:20" ht="14.25">
      <c r="A852" s="7"/>
      <c r="B852" s="7"/>
      <c r="C852" s="7"/>
      <c r="D852" s="7"/>
      <c r="P852" s="21"/>
      <c r="R852" s="5"/>
      <c r="S852" s="5"/>
      <c r="T852" s="7"/>
    </row>
    <row r="853" spans="1:20" ht="14.25">
      <c r="A853" s="7"/>
      <c r="B853" s="7"/>
      <c r="C853" s="7"/>
      <c r="D853" s="7"/>
      <c r="P853" s="21"/>
      <c r="R853" s="5"/>
      <c r="S853" s="5"/>
      <c r="T853" s="7"/>
    </row>
    <row r="854" spans="1:20" ht="14.25">
      <c r="A854" s="7"/>
      <c r="B854" s="7"/>
      <c r="C854" s="7"/>
      <c r="D854" s="7"/>
      <c r="P854" s="21"/>
      <c r="R854" s="5"/>
      <c r="S854" s="5"/>
      <c r="T854" s="7"/>
    </row>
    <row r="855" spans="1:20" ht="14.25">
      <c r="A855" s="7"/>
      <c r="B855" s="7"/>
      <c r="C855" s="7"/>
      <c r="D855" s="7"/>
      <c r="P855" s="21"/>
      <c r="R855" s="5"/>
      <c r="S855" s="5"/>
      <c r="T855" s="7"/>
    </row>
    <row r="856" spans="1:20" ht="14.25">
      <c r="A856" s="7"/>
      <c r="B856" s="7"/>
      <c r="C856" s="7"/>
      <c r="D856" s="7"/>
      <c r="P856" s="21"/>
      <c r="R856" s="5"/>
      <c r="S856" s="5"/>
      <c r="T856" s="7"/>
    </row>
    <row r="857" spans="1:20" ht="14.25">
      <c r="A857" s="7"/>
      <c r="B857" s="7"/>
      <c r="C857" s="7"/>
      <c r="D857" s="7"/>
      <c r="P857" s="21"/>
      <c r="R857" s="5"/>
      <c r="S857" s="5"/>
      <c r="T857" s="7"/>
    </row>
    <row r="858" spans="1:20" ht="14.25">
      <c r="A858" s="7"/>
      <c r="B858" s="7"/>
      <c r="C858" s="7"/>
      <c r="D858" s="7"/>
      <c r="P858" s="21"/>
      <c r="R858" s="5"/>
      <c r="S858" s="5"/>
      <c r="T858" s="7"/>
    </row>
    <row r="859" spans="1:20" ht="14.25">
      <c r="A859" s="7"/>
      <c r="B859" s="7"/>
      <c r="C859" s="7"/>
      <c r="D859" s="7"/>
      <c r="P859" s="21"/>
      <c r="R859" s="5"/>
      <c r="S859" s="5"/>
      <c r="T859" s="7"/>
    </row>
    <row r="860" spans="1:20" ht="14.25">
      <c r="A860" s="7"/>
      <c r="B860" s="7"/>
      <c r="C860" s="7"/>
      <c r="D860" s="7"/>
      <c r="P860" s="21"/>
      <c r="R860" s="5"/>
      <c r="S860" s="5"/>
      <c r="T860" s="7"/>
    </row>
    <row r="861" spans="1:20" ht="14.25">
      <c r="A861" s="7"/>
      <c r="B861" s="7"/>
      <c r="C861" s="7"/>
      <c r="D861" s="7"/>
      <c r="P861" s="21"/>
      <c r="R861" s="5"/>
      <c r="S861" s="5"/>
      <c r="T861" s="7"/>
    </row>
    <row r="862" spans="1:20" ht="14.25">
      <c r="A862" s="7"/>
      <c r="B862" s="7"/>
      <c r="C862" s="7"/>
      <c r="D862" s="7"/>
      <c r="P862" s="21"/>
      <c r="R862" s="5"/>
      <c r="S862" s="5"/>
      <c r="T862" s="7"/>
    </row>
    <row r="863" spans="1:20" ht="14.25">
      <c r="A863" s="7"/>
      <c r="B863" s="7"/>
      <c r="C863" s="7"/>
      <c r="D863" s="7"/>
      <c r="P863" s="21"/>
      <c r="R863" s="5"/>
      <c r="S863" s="5"/>
      <c r="T863" s="7"/>
    </row>
    <row r="864" spans="1:20" ht="14.25">
      <c r="A864" s="7"/>
      <c r="B864" s="7"/>
      <c r="C864" s="7"/>
      <c r="D864" s="7"/>
      <c r="P864" s="21"/>
      <c r="R864" s="5"/>
      <c r="S864" s="5"/>
      <c r="T864" s="7"/>
    </row>
    <row r="865" spans="1:20" ht="14.25">
      <c r="A865" s="7"/>
      <c r="B865" s="7"/>
      <c r="C865" s="7"/>
      <c r="D865" s="7"/>
      <c r="P865" s="21"/>
      <c r="R865" s="5"/>
      <c r="S865" s="5"/>
      <c r="T865" s="7"/>
    </row>
    <row r="866" spans="1:20" ht="14.25">
      <c r="A866" s="7"/>
      <c r="B866" s="7"/>
      <c r="C866" s="7"/>
      <c r="D866" s="7"/>
      <c r="P866" s="21"/>
      <c r="R866" s="5"/>
      <c r="S866" s="5"/>
      <c r="T866" s="7"/>
    </row>
    <row r="867" spans="1:20" ht="14.25">
      <c r="A867" s="7"/>
      <c r="B867" s="7"/>
      <c r="C867" s="7"/>
      <c r="D867" s="7"/>
      <c r="P867" s="21"/>
      <c r="R867" s="5"/>
      <c r="S867" s="5"/>
      <c r="T867" s="7"/>
    </row>
    <row r="868" spans="1:20" ht="14.25">
      <c r="A868" s="7"/>
      <c r="B868" s="7"/>
      <c r="C868" s="7"/>
      <c r="D868" s="7"/>
      <c r="P868" s="21"/>
      <c r="R868" s="5"/>
      <c r="S868" s="5"/>
      <c r="T868" s="7"/>
    </row>
    <row r="869" spans="1:20" ht="14.25">
      <c r="A869" s="7"/>
      <c r="B869" s="7"/>
      <c r="C869" s="7"/>
      <c r="D869" s="7"/>
      <c r="P869" s="21"/>
      <c r="R869" s="5"/>
      <c r="S869" s="5"/>
      <c r="T869" s="7"/>
    </row>
    <row r="870" spans="1:20" ht="14.25">
      <c r="A870" s="7"/>
      <c r="B870" s="7"/>
      <c r="C870" s="7"/>
      <c r="D870" s="7"/>
      <c r="P870" s="21"/>
      <c r="R870" s="5"/>
      <c r="S870" s="5"/>
      <c r="T870" s="7"/>
    </row>
    <row r="871" spans="1:20" ht="14.25">
      <c r="A871" s="7"/>
      <c r="B871" s="7"/>
      <c r="C871" s="7"/>
      <c r="D871" s="7"/>
      <c r="P871" s="21"/>
      <c r="R871" s="5"/>
      <c r="S871" s="5"/>
      <c r="T871" s="7"/>
    </row>
    <row r="872" spans="1:20" ht="14.25">
      <c r="A872" s="7"/>
      <c r="B872" s="7"/>
      <c r="C872" s="7"/>
      <c r="D872" s="7"/>
      <c r="P872" s="21"/>
      <c r="R872" s="5"/>
      <c r="S872" s="5"/>
      <c r="T872" s="7"/>
    </row>
    <row r="873" spans="1:20" ht="14.25">
      <c r="A873" s="7"/>
      <c r="B873" s="7"/>
      <c r="C873" s="7"/>
      <c r="D873" s="7"/>
      <c r="P873" s="21"/>
      <c r="R873" s="5"/>
      <c r="S873" s="5"/>
      <c r="T873" s="7"/>
    </row>
    <row r="874" spans="1:20" ht="14.25">
      <c r="A874" s="7"/>
      <c r="B874" s="7"/>
      <c r="C874" s="7"/>
      <c r="D874" s="7"/>
      <c r="P874" s="21"/>
      <c r="R874" s="5"/>
      <c r="S874" s="5"/>
      <c r="T874" s="7"/>
    </row>
    <row r="875" spans="1:20" ht="14.25">
      <c r="A875" s="7"/>
      <c r="B875" s="7"/>
      <c r="C875" s="7"/>
      <c r="D875" s="7"/>
      <c r="P875" s="21"/>
      <c r="R875" s="5"/>
      <c r="S875" s="5"/>
      <c r="T875" s="7"/>
    </row>
    <row r="876" spans="1:20" ht="14.25">
      <c r="A876" s="7"/>
      <c r="B876" s="7"/>
      <c r="C876" s="7"/>
      <c r="D876" s="7"/>
      <c r="P876" s="21"/>
      <c r="R876" s="5"/>
      <c r="S876" s="5"/>
      <c r="T876" s="7"/>
    </row>
    <row r="877" spans="1:20" ht="14.25">
      <c r="A877" s="7"/>
      <c r="B877" s="7"/>
      <c r="C877" s="7"/>
      <c r="D877" s="7"/>
      <c r="P877" s="21"/>
      <c r="R877" s="5"/>
      <c r="S877" s="5"/>
      <c r="T877" s="7"/>
    </row>
    <row r="878" spans="1:20" ht="14.25">
      <c r="A878" s="7"/>
      <c r="B878" s="7"/>
      <c r="C878" s="7"/>
      <c r="D878" s="7"/>
      <c r="P878" s="21"/>
      <c r="R878" s="5"/>
      <c r="S878" s="5"/>
      <c r="T878" s="7"/>
    </row>
    <row r="879" spans="1:20" ht="14.25">
      <c r="A879" s="7"/>
      <c r="B879" s="7"/>
      <c r="C879" s="7"/>
      <c r="D879" s="7"/>
      <c r="P879" s="21"/>
      <c r="R879" s="5"/>
      <c r="S879" s="5"/>
      <c r="T879" s="7"/>
    </row>
    <row r="880" spans="1:20" ht="14.25">
      <c r="A880" s="7"/>
      <c r="B880" s="7"/>
      <c r="C880" s="7"/>
      <c r="D880" s="7"/>
      <c r="P880" s="21"/>
      <c r="R880" s="5"/>
      <c r="S880" s="5"/>
      <c r="T880" s="7"/>
    </row>
    <row r="881" spans="1:20" ht="14.25">
      <c r="A881" s="7"/>
      <c r="B881" s="7"/>
      <c r="C881" s="7"/>
      <c r="D881" s="7"/>
      <c r="P881" s="21"/>
      <c r="R881" s="5"/>
      <c r="S881" s="5"/>
      <c r="T881" s="7"/>
    </row>
    <row r="882" spans="1:20" ht="14.25">
      <c r="A882" s="7"/>
      <c r="B882" s="7"/>
      <c r="C882" s="7"/>
      <c r="D882" s="7"/>
      <c r="P882" s="21"/>
      <c r="R882" s="5"/>
      <c r="S882" s="5"/>
      <c r="T882" s="7"/>
    </row>
    <row r="883" spans="1:20" ht="14.25">
      <c r="A883" s="7"/>
      <c r="B883" s="7"/>
      <c r="C883" s="7"/>
      <c r="D883" s="7"/>
      <c r="P883" s="21"/>
      <c r="R883" s="5"/>
      <c r="S883" s="5"/>
      <c r="T883" s="7"/>
    </row>
    <row r="884" spans="1:20" ht="14.25">
      <c r="A884" s="7"/>
      <c r="B884" s="7"/>
      <c r="C884" s="7"/>
      <c r="D884" s="7"/>
      <c r="P884" s="21"/>
      <c r="R884" s="5"/>
      <c r="S884" s="5"/>
      <c r="T884" s="7"/>
    </row>
    <row r="885" spans="1:20" ht="14.25">
      <c r="A885" s="7"/>
      <c r="B885" s="7"/>
      <c r="C885" s="7"/>
      <c r="D885" s="7"/>
      <c r="P885" s="21"/>
      <c r="R885" s="5"/>
      <c r="S885" s="5"/>
      <c r="T885" s="7"/>
    </row>
    <row r="886" spans="1:20" ht="14.25">
      <c r="A886" s="7"/>
      <c r="B886" s="7"/>
      <c r="C886" s="7"/>
      <c r="D886" s="7"/>
      <c r="P886" s="21"/>
      <c r="R886" s="5"/>
      <c r="S886" s="5"/>
      <c r="T886" s="7"/>
    </row>
    <row r="887" spans="1:20" ht="14.25">
      <c r="A887" s="7"/>
      <c r="B887" s="7"/>
      <c r="C887" s="7"/>
      <c r="D887" s="7"/>
      <c r="P887" s="21"/>
      <c r="R887" s="5"/>
      <c r="S887" s="5"/>
      <c r="T887" s="7"/>
    </row>
    <row r="888" spans="1:20" ht="14.25">
      <c r="A888" s="7"/>
      <c r="B888" s="7"/>
      <c r="C888" s="7"/>
      <c r="D888" s="7"/>
      <c r="P888" s="21"/>
      <c r="R888" s="5"/>
      <c r="S888" s="5"/>
      <c r="T888" s="7"/>
    </row>
    <row r="889" spans="1:20" ht="14.25">
      <c r="A889" s="7"/>
      <c r="B889" s="7"/>
      <c r="C889" s="7"/>
      <c r="D889" s="7"/>
      <c r="P889" s="21"/>
      <c r="R889" s="5"/>
      <c r="S889" s="5"/>
      <c r="T889" s="7"/>
    </row>
    <row r="890" spans="1:20" ht="14.25">
      <c r="A890" s="7"/>
      <c r="B890" s="7"/>
      <c r="C890" s="7"/>
      <c r="D890" s="7"/>
      <c r="P890" s="21"/>
      <c r="R890" s="5"/>
      <c r="S890" s="5"/>
      <c r="T890" s="7"/>
    </row>
    <row r="891" spans="1:20" ht="14.25">
      <c r="A891" s="7"/>
      <c r="B891" s="7"/>
      <c r="C891" s="7"/>
      <c r="D891" s="7"/>
      <c r="P891" s="21"/>
      <c r="R891" s="5"/>
      <c r="S891" s="5"/>
      <c r="T891" s="7"/>
    </row>
    <row r="892" spans="1:20" ht="14.25">
      <c r="A892" s="7"/>
      <c r="B892" s="7"/>
      <c r="C892" s="7"/>
      <c r="D892" s="7"/>
      <c r="P892" s="21"/>
      <c r="R892" s="5"/>
      <c r="S892" s="5"/>
      <c r="T892" s="7"/>
    </row>
    <row r="893" spans="1:20" ht="14.25">
      <c r="A893" s="7"/>
      <c r="B893" s="7"/>
      <c r="C893" s="7"/>
      <c r="D893" s="7"/>
      <c r="P893" s="21"/>
      <c r="R893" s="5"/>
      <c r="S893" s="5"/>
      <c r="T893" s="7"/>
    </row>
    <row r="894" spans="1:20" ht="14.25">
      <c r="A894" s="7"/>
      <c r="B894" s="7"/>
      <c r="C894" s="7"/>
      <c r="D894" s="7"/>
      <c r="P894" s="21"/>
      <c r="R894" s="5"/>
      <c r="S894" s="5"/>
      <c r="T894" s="7"/>
    </row>
    <row r="895" spans="1:20" ht="14.25">
      <c r="A895" s="7"/>
      <c r="B895" s="7"/>
      <c r="C895" s="7"/>
      <c r="D895" s="7"/>
      <c r="P895" s="21"/>
      <c r="R895" s="5"/>
      <c r="S895" s="5"/>
      <c r="T895" s="7"/>
    </row>
    <row r="896" spans="1:20" ht="14.25">
      <c r="A896" s="7"/>
      <c r="B896" s="7"/>
      <c r="C896" s="7"/>
      <c r="D896" s="7"/>
      <c r="P896" s="21"/>
      <c r="R896" s="5"/>
      <c r="S896" s="5"/>
      <c r="T896" s="7"/>
    </row>
    <row r="897" spans="1:20" ht="14.25">
      <c r="A897" s="7"/>
      <c r="B897" s="7"/>
      <c r="C897" s="7"/>
      <c r="D897" s="7"/>
      <c r="P897" s="21"/>
      <c r="R897" s="5"/>
      <c r="S897" s="5"/>
      <c r="T897" s="7"/>
    </row>
    <row r="898" spans="1:20" ht="14.25">
      <c r="A898" s="7"/>
      <c r="B898" s="7"/>
      <c r="C898" s="7"/>
      <c r="D898" s="7"/>
      <c r="P898" s="21"/>
      <c r="R898" s="5"/>
      <c r="S898" s="5"/>
      <c r="T898" s="7"/>
    </row>
    <row r="899" spans="1:20" ht="14.25">
      <c r="A899" s="7"/>
      <c r="B899" s="7"/>
      <c r="C899" s="7"/>
      <c r="D899" s="7"/>
      <c r="P899" s="21"/>
      <c r="R899" s="5"/>
      <c r="S899" s="5"/>
      <c r="T899" s="7"/>
    </row>
    <row r="900" spans="1:20" ht="14.25">
      <c r="A900" s="7"/>
      <c r="B900" s="7"/>
      <c r="C900" s="7"/>
      <c r="D900" s="7"/>
      <c r="P900" s="21"/>
      <c r="R900" s="5"/>
      <c r="S900" s="5"/>
      <c r="T900" s="7"/>
    </row>
    <row r="901" spans="1:20" ht="14.25">
      <c r="A901" s="7"/>
      <c r="B901" s="7"/>
      <c r="C901" s="7"/>
      <c r="D901" s="7"/>
      <c r="P901" s="21"/>
      <c r="R901" s="5"/>
      <c r="S901" s="5"/>
      <c r="T901" s="7"/>
    </row>
    <row r="902" spans="1:20" ht="14.25">
      <c r="A902" s="7"/>
      <c r="B902" s="7"/>
      <c r="C902" s="7"/>
      <c r="D902" s="7"/>
      <c r="P902" s="21"/>
      <c r="R902" s="5"/>
      <c r="S902" s="5"/>
      <c r="T902" s="7"/>
    </row>
    <row r="903" spans="1:20" ht="14.25">
      <c r="A903" s="7"/>
      <c r="B903" s="7"/>
      <c r="C903" s="7"/>
      <c r="D903" s="7"/>
      <c r="P903" s="21"/>
      <c r="R903" s="5"/>
      <c r="S903" s="5"/>
      <c r="T903" s="7"/>
    </row>
    <row r="904" spans="1:20" ht="14.25">
      <c r="A904" s="7"/>
      <c r="B904" s="7"/>
      <c r="C904" s="7"/>
      <c r="D904" s="7"/>
      <c r="P904" s="21"/>
      <c r="R904" s="5"/>
      <c r="S904" s="5"/>
      <c r="T904" s="7"/>
    </row>
    <row r="905" spans="1:20" ht="14.25">
      <c r="A905" s="7"/>
      <c r="B905" s="7"/>
      <c r="C905" s="7"/>
      <c r="D905" s="7"/>
      <c r="P905" s="21"/>
      <c r="R905" s="5"/>
      <c r="S905" s="5"/>
      <c r="T905" s="7"/>
    </row>
    <row r="906" spans="1:20" ht="14.25">
      <c r="A906" s="7"/>
      <c r="B906" s="7"/>
      <c r="C906" s="7"/>
      <c r="D906" s="7"/>
      <c r="P906" s="21"/>
      <c r="R906" s="5"/>
      <c r="S906" s="5"/>
      <c r="T906" s="7"/>
    </row>
    <row r="907" spans="1:20" ht="14.25">
      <c r="A907" s="7"/>
      <c r="B907" s="7"/>
      <c r="C907" s="7"/>
      <c r="D907" s="7"/>
      <c r="P907" s="21"/>
      <c r="R907" s="5"/>
      <c r="S907" s="5"/>
      <c r="T907" s="7"/>
    </row>
    <row r="908" spans="1:20" ht="14.25">
      <c r="A908" s="7"/>
      <c r="B908" s="7"/>
      <c r="C908" s="7"/>
      <c r="D908" s="7"/>
      <c r="P908" s="21"/>
      <c r="R908" s="5"/>
      <c r="S908" s="5"/>
      <c r="T908" s="7"/>
    </row>
    <row r="909" spans="1:20" ht="14.25">
      <c r="A909" s="7"/>
      <c r="B909" s="7"/>
      <c r="C909" s="7"/>
      <c r="D909" s="7"/>
      <c r="P909" s="21"/>
      <c r="R909" s="5"/>
      <c r="S909" s="5"/>
      <c r="T909" s="7"/>
    </row>
    <row r="910" spans="1:20" ht="14.25">
      <c r="A910" s="7"/>
      <c r="B910" s="7"/>
      <c r="C910" s="7"/>
      <c r="D910" s="7"/>
      <c r="P910" s="21"/>
      <c r="R910" s="5"/>
      <c r="S910" s="5"/>
      <c r="T910" s="7"/>
    </row>
    <row r="911" spans="1:20" ht="14.25">
      <c r="A911" s="7"/>
      <c r="B911" s="7"/>
      <c r="C911" s="7"/>
      <c r="D911" s="7"/>
      <c r="P911" s="21"/>
      <c r="R911" s="5"/>
      <c r="S911" s="5"/>
      <c r="T911" s="7"/>
    </row>
    <row r="912" spans="1:20" ht="14.25">
      <c r="A912" s="7"/>
      <c r="B912" s="7"/>
      <c r="C912" s="7"/>
      <c r="D912" s="7"/>
      <c r="P912" s="21"/>
      <c r="R912" s="5"/>
      <c r="S912" s="5"/>
      <c r="T912" s="7"/>
    </row>
    <row r="913" spans="1:20" ht="14.25">
      <c r="A913" s="7"/>
      <c r="B913" s="7"/>
      <c r="C913" s="7"/>
      <c r="D913" s="7"/>
      <c r="P913" s="21"/>
      <c r="R913" s="5"/>
      <c r="S913" s="5"/>
      <c r="T913" s="7"/>
    </row>
    <row r="914" spans="1:20" ht="14.25">
      <c r="A914" s="7"/>
      <c r="B914" s="7"/>
      <c r="C914" s="7"/>
      <c r="D914" s="7"/>
      <c r="P914" s="21"/>
      <c r="R914" s="5"/>
      <c r="S914" s="5"/>
      <c r="T914" s="7"/>
    </row>
    <row r="915" spans="1:20" ht="14.25">
      <c r="A915" s="7"/>
      <c r="B915" s="7"/>
      <c r="C915" s="7"/>
      <c r="D915" s="7"/>
      <c r="P915" s="21"/>
      <c r="R915" s="5"/>
      <c r="S915" s="5"/>
      <c r="T915" s="7"/>
    </row>
    <row r="916" spans="1:20" ht="14.25">
      <c r="A916" s="7"/>
      <c r="B916" s="7"/>
      <c r="C916" s="7"/>
      <c r="D916" s="7"/>
      <c r="P916" s="21"/>
      <c r="R916" s="5"/>
      <c r="S916" s="5"/>
      <c r="T916" s="7"/>
    </row>
    <row r="917" spans="1:20" ht="14.25">
      <c r="A917" s="7"/>
      <c r="B917" s="7"/>
      <c r="C917" s="7"/>
      <c r="D917" s="7"/>
      <c r="P917" s="21"/>
      <c r="R917" s="5"/>
      <c r="S917" s="5"/>
      <c r="T917" s="7"/>
    </row>
    <row r="918" spans="1:20" ht="14.25">
      <c r="A918" s="7"/>
      <c r="B918" s="7"/>
      <c r="C918" s="7"/>
      <c r="D918" s="7"/>
      <c r="P918" s="21"/>
      <c r="R918" s="5"/>
      <c r="S918" s="5"/>
      <c r="T918" s="7"/>
    </row>
    <row r="919" spans="1:20" ht="14.25">
      <c r="A919" s="7"/>
      <c r="B919" s="7"/>
      <c r="C919" s="7"/>
      <c r="D919" s="7"/>
      <c r="P919" s="21"/>
      <c r="R919" s="5"/>
      <c r="S919" s="5"/>
      <c r="T919" s="7"/>
    </row>
    <row r="920" spans="1:20" ht="14.25">
      <c r="A920" s="7"/>
      <c r="B920" s="7"/>
      <c r="C920" s="7"/>
      <c r="D920" s="7"/>
      <c r="P920" s="21"/>
      <c r="R920" s="5"/>
      <c r="S920" s="5"/>
      <c r="T920" s="7"/>
    </row>
    <row r="921" spans="1:20" ht="14.25">
      <c r="A921" s="7"/>
      <c r="B921" s="7"/>
      <c r="C921" s="7"/>
      <c r="D921" s="7"/>
      <c r="P921" s="21"/>
      <c r="R921" s="5"/>
      <c r="S921" s="5"/>
      <c r="T921" s="7"/>
    </row>
    <row r="922" spans="1:20" ht="14.25">
      <c r="A922" s="7"/>
      <c r="B922" s="7"/>
      <c r="C922" s="7"/>
      <c r="D922" s="7"/>
      <c r="P922" s="21"/>
      <c r="R922" s="5"/>
      <c r="S922" s="5"/>
      <c r="T922" s="7"/>
    </row>
    <row r="923" spans="1:20" ht="14.25">
      <c r="A923" s="7"/>
      <c r="B923" s="7"/>
      <c r="C923" s="7"/>
      <c r="D923" s="7"/>
      <c r="P923" s="21"/>
      <c r="R923" s="5"/>
      <c r="S923" s="5"/>
      <c r="T923" s="7"/>
    </row>
    <row r="924" spans="1:20" ht="14.25">
      <c r="A924" s="7"/>
      <c r="B924" s="7"/>
      <c r="C924" s="7"/>
      <c r="D924" s="7"/>
      <c r="P924" s="21"/>
      <c r="R924" s="5"/>
      <c r="S924" s="5"/>
      <c r="T924" s="7"/>
    </row>
    <row r="925" spans="1:20" ht="14.25">
      <c r="A925" s="7"/>
      <c r="B925" s="7"/>
      <c r="C925" s="7"/>
      <c r="D925" s="7"/>
      <c r="P925" s="21"/>
      <c r="R925" s="5"/>
      <c r="S925" s="5"/>
      <c r="T925" s="7"/>
    </row>
    <row r="926" spans="1:20" ht="14.25">
      <c r="A926" s="7"/>
      <c r="B926" s="7"/>
      <c r="C926" s="7"/>
      <c r="D926" s="7"/>
      <c r="P926" s="21"/>
      <c r="R926" s="5"/>
      <c r="S926" s="5"/>
      <c r="T926" s="7"/>
    </row>
    <row r="927" spans="1:20" ht="14.25">
      <c r="A927" s="7"/>
      <c r="B927" s="7"/>
      <c r="C927" s="7"/>
      <c r="D927" s="7"/>
      <c r="P927" s="21"/>
      <c r="R927" s="5"/>
      <c r="S927" s="5"/>
      <c r="T927" s="7"/>
    </row>
    <row r="928" spans="1:20" ht="14.25">
      <c r="A928" s="7"/>
      <c r="B928" s="7"/>
      <c r="C928" s="7"/>
      <c r="D928" s="7"/>
      <c r="P928" s="21"/>
      <c r="R928" s="5"/>
      <c r="S928" s="5"/>
      <c r="T928" s="7"/>
    </row>
    <row r="929" spans="1:20" ht="14.25">
      <c r="A929" s="7"/>
      <c r="B929" s="7"/>
      <c r="C929" s="7"/>
      <c r="D929" s="7"/>
      <c r="P929" s="21"/>
      <c r="R929" s="5"/>
      <c r="S929" s="5"/>
      <c r="T929" s="7"/>
    </row>
    <row r="930" spans="1:20" ht="14.25">
      <c r="A930" s="7"/>
      <c r="B930" s="7"/>
      <c r="C930" s="7"/>
      <c r="D930" s="7"/>
      <c r="P930" s="21"/>
      <c r="R930" s="5"/>
      <c r="S930" s="5"/>
      <c r="T930" s="7"/>
    </row>
    <row r="931" spans="1:20" ht="14.25">
      <c r="A931" s="7"/>
      <c r="B931" s="7"/>
      <c r="C931" s="7"/>
      <c r="D931" s="7"/>
      <c r="P931" s="21"/>
      <c r="R931" s="5"/>
      <c r="S931" s="5"/>
      <c r="T931" s="7"/>
    </row>
    <row r="932" spans="1:20" ht="14.25">
      <c r="A932" s="7"/>
      <c r="B932" s="7"/>
      <c r="C932" s="7"/>
      <c r="D932" s="7"/>
      <c r="P932" s="21"/>
      <c r="R932" s="5"/>
      <c r="S932" s="5"/>
      <c r="T932" s="7"/>
    </row>
    <row r="933" spans="1:20" ht="14.25">
      <c r="A933" s="7"/>
      <c r="B933" s="7"/>
      <c r="C933" s="7"/>
      <c r="D933" s="7"/>
      <c r="P933" s="21"/>
      <c r="R933" s="5"/>
      <c r="S933" s="5"/>
      <c r="T933" s="7"/>
    </row>
    <row r="934" spans="1:20" ht="14.25">
      <c r="A934" s="7"/>
      <c r="B934" s="7"/>
      <c r="C934" s="7"/>
      <c r="D934" s="7"/>
      <c r="P934" s="21"/>
      <c r="R934" s="5"/>
      <c r="S934" s="5"/>
      <c r="T934" s="7"/>
    </row>
    <row r="935" spans="1:20" ht="14.25">
      <c r="A935" s="7"/>
      <c r="B935" s="7"/>
      <c r="C935" s="7"/>
      <c r="D935" s="7"/>
      <c r="P935" s="21"/>
      <c r="R935" s="5"/>
      <c r="S935" s="5"/>
      <c r="T935" s="7"/>
    </row>
    <row r="936" spans="1:20" ht="14.25">
      <c r="A936" s="7"/>
      <c r="B936" s="7"/>
      <c r="C936" s="7"/>
      <c r="D936" s="7"/>
      <c r="P936" s="21"/>
      <c r="R936" s="5"/>
      <c r="S936" s="5"/>
      <c r="T936" s="7"/>
    </row>
    <row r="937" spans="1:20" ht="14.25">
      <c r="A937" s="7"/>
      <c r="B937" s="7"/>
      <c r="C937" s="7"/>
      <c r="D937" s="7"/>
      <c r="P937" s="21"/>
      <c r="R937" s="5"/>
      <c r="S937" s="5"/>
      <c r="T937" s="7"/>
    </row>
    <row r="938" spans="1:20" ht="14.25">
      <c r="A938" s="7"/>
      <c r="B938" s="7"/>
      <c r="C938" s="7"/>
      <c r="D938" s="7"/>
      <c r="P938" s="21"/>
      <c r="R938" s="5"/>
      <c r="S938" s="5"/>
      <c r="T938" s="7"/>
    </row>
    <row r="939" spans="1:20" ht="14.25">
      <c r="A939" s="7"/>
      <c r="B939" s="7"/>
      <c r="C939" s="7"/>
      <c r="D939" s="7"/>
      <c r="P939" s="21"/>
      <c r="R939" s="5"/>
      <c r="S939" s="5"/>
      <c r="T939" s="7"/>
    </row>
    <row r="940" spans="1:20" ht="14.25">
      <c r="A940" s="7"/>
      <c r="B940" s="7"/>
      <c r="C940" s="7"/>
      <c r="D940" s="7"/>
      <c r="P940" s="21"/>
      <c r="R940" s="5"/>
      <c r="S940" s="5"/>
      <c r="T940" s="7"/>
    </row>
    <row r="941" spans="1:20" ht="14.25">
      <c r="A941" s="7"/>
      <c r="B941" s="7"/>
      <c r="C941" s="7"/>
      <c r="D941" s="7"/>
      <c r="P941" s="21"/>
      <c r="R941" s="5"/>
      <c r="S941" s="5"/>
      <c r="T941" s="7"/>
    </row>
    <row r="942" spans="1:20" ht="14.25">
      <c r="A942" s="7"/>
      <c r="B942" s="7"/>
      <c r="C942" s="7"/>
      <c r="D942" s="7"/>
      <c r="P942" s="21"/>
      <c r="R942" s="5"/>
      <c r="S942" s="5"/>
      <c r="T942" s="7"/>
    </row>
    <row r="943" spans="1:20" ht="14.25">
      <c r="A943" s="7"/>
      <c r="B943" s="7"/>
      <c r="C943" s="7"/>
      <c r="D943" s="7"/>
      <c r="P943" s="21"/>
      <c r="R943" s="5"/>
      <c r="S943" s="5"/>
      <c r="T943" s="7"/>
    </row>
    <row r="944" spans="1:20" ht="14.25">
      <c r="A944" s="7"/>
      <c r="B944" s="7"/>
      <c r="C944" s="7"/>
      <c r="D944" s="7"/>
      <c r="P944" s="21"/>
      <c r="R944" s="5"/>
      <c r="S944" s="5"/>
      <c r="T944" s="7"/>
    </row>
    <row r="945" spans="1:20" ht="14.25">
      <c r="A945" s="7"/>
      <c r="B945" s="7"/>
      <c r="C945" s="7"/>
      <c r="D945" s="7"/>
      <c r="P945" s="21"/>
      <c r="R945" s="5"/>
      <c r="S945" s="5"/>
      <c r="T945" s="7"/>
    </row>
    <row r="946" spans="1:20" ht="14.25">
      <c r="A946" s="7"/>
      <c r="B946" s="7"/>
      <c r="C946" s="7"/>
      <c r="D946" s="7"/>
      <c r="P946" s="21"/>
      <c r="R946" s="5"/>
      <c r="S946" s="5"/>
      <c r="T946" s="7"/>
    </row>
    <row r="947" spans="1:20" ht="14.25">
      <c r="A947" s="7"/>
      <c r="B947" s="7"/>
      <c r="C947" s="7"/>
      <c r="D947" s="7"/>
      <c r="P947" s="21"/>
      <c r="R947" s="5"/>
      <c r="S947" s="5"/>
      <c r="T947" s="7"/>
    </row>
    <row r="948" spans="1:20" ht="14.25">
      <c r="A948" s="7"/>
      <c r="B948" s="7"/>
      <c r="C948" s="7"/>
      <c r="D948" s="7"/>
      <c r="P948" s="21"/>
      <c r="R948" s="5"/>
      <c r="S948" s="5"/>
      <c r="T948" s="7"/>
    </row>
    <row r="949" spans="1:20" ht="14.25">
      <c r="A949" s="7"/>
      <c r="B949" s="7"/>
      <c r="C949" s="7"/>
      <c r="D949" s="7"/>
      <c r="P949" s="21"/>
      <c r="R949" s="5"/>
      <c r="S949" s="5"/>
      <c r="T949" s="7"/>
    </row>
    <row r="950" spans="1:20" ht="14.25">
      <c r="A950" s="7"/>
      <c r="B950" s="7"/>
      <c r="C950" s="7"/>
      <c r="D950" s="7"/>
      <c r="P950" s="21"/>
      <c r="R950" s="5"/>
      <c r="S950" s="5"/>
      <c r="T950" s="7"/>
    </row>
    <row r="951" spans="1:20" ht="14.25">
      <c r="A951" s="7"/>
      <c r="B951" s="7"/>
      <c r="C951" s="7"/>
      <c r="D951" s="7"/>
      <c r="P951" s="21"/>
      <c r="R951" s="5"/>
      <c r="S951" s="5"/>
      <c r="T951" s="7"/>
    </row>
    <row r="952" spans="1:20" ht="14.25">
      <c r="A952" s="7"/>
      <c r="B952" s="7"/>
      <c r="C952" s="7"/>
      <c r="D952" s="7"/>
      <c r="P952" s="21"/>
      <c r="R952" s="5"/>
      <c r="S952" s="5"/>
      <c r="T9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Stasevich,Tim</cp:lastModifiedBy>
  <dcterms:created xsi:type="dcterms:W3CDTF">2025-03-27T12:43:20Z</dcterms:created>
  <dcterms:modified xsi:type="dcterms:W3CDTF">2025-07-25T21:49:06Z</dcterms:modified>
</cp:coreProperties>
</file>